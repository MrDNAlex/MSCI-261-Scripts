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ofwaterloo-my.sharepoint.com/personal/a3dufres_uwaterloo_ca/Documents/Classes/Year 3/3A/MSCI 261/"/>
    </mc:Choice>
  </mc:AlternateContent>
  <xr:revisionPtr revIDLastSave="107" documentId="8_{93163962-27A6-4833-B2EC-F81806BC317E}" xr6:coauthVersionLast="47" xr6:coauthVersionMax="47" xr10:uidLastSave="{44DB1722-FFA2-4BC9-8684-06DAC4F757BB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8" i="1" l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6" i="1"/>
  <c r="A16" i="1"/>
  <c r="C8" i="1"/>
  <c r="J20" i="1" a="1"/>
  <c r="J52" i="1" a="1"/>
  <c r="J113" i="1" a="1"/>
  <c r="J114" i="1" a="1"/>
  <c r="J28" i="1" a="1"/>
  <c r="J60" i="1" a="1"/>
  <c r="J92" i="1" a="1"/>
  <c r="J25" i="1" a="1"/>
  <c r="J57" i="1" a="1"/>
  <c r="J89" i="1" a="1"/>
  <c r="J22" i="1" a="1"/>
  <c r="J54" i="1" a="1"/>
  <c r="J86" i="1" a="1"/>
  <c r="J118" i="1" a="1"/>
  <c r="J51" i="1" a="1"/>
  <c r="J83" i="1" a="1"/>
  <c r="J115" i="1" a="1"/>
  <c r="J41" i="1" a="1"/>
  <c r="J70" i="1" a="1"/>
  <c r="J99" i="1" a="1"/>
  <c r="J48" i="1" a="1"/>
  <c r="J74" i="1" a="1"/>
  <c r="J103" i="1" a="1"/>
  <c r="J81" i="1" a="1"/>
  <c r="J110" i="1" a="1"/>
  <c r="J107" i="1" a="1"/>
  <c r="J21" i="1" a="1"/>
  <c r="J53" i="1" a="1"/>
  <c r="J82" i="1" a="1"/>
  <c r="J32" i="1" a="1"/>
  <c r="J64" i="1" a="1"/>
  <c r="J96" i="1" a="1"/>
  <c r="J29" i="1" a="1"/>
  <c r="J61" i="1" a="1"/>
  <c r="J93" i="1" a="1"/>
  <c r="J26" i="1" a="1"/>
  <c r="J58" i="1" a="1"/>
  <c r="J90" i="1" a="1"/>
  <c r="J23" i="1" a="1"/>
  <c r="J55" i="1" a="1"/>
  <c r="J87" i="1" a="1"/>
  <c r="J19" i="1" a="1"/>
  <c r="J108" i="1" a="1"/>
  <c r="J38" i="1" a="1"/>
  <c r="J67" i="1" a="1"/>
  <c r="J45" i="1" a="1"/>
  <c r="J77" i="1" a="1"/>
  <c r="J106" i="1" a="1"/>
  <c r="J84" i="1" a="1"/>
  <c r="J46" i="1" a="1"/>
  <c r="J75" i="1" a="1"/>
  <c r="J88" i="1" a="1"/>
  <c r="J117" i="1" a="1"/>
  <c r="J79" i="1" a="1"/>
  <c r="J36" i="1" a="1"/>
  <c r="J68" i="1" a="1"/>
  <c r="J100" i="1" a="1"/>
  <c r="J33" i="1" a="1"/>
  <c r="J65" i="1" a="1"/>
  <c r="J97" i="1" a="1"/>
  <c r="J30" i="1" a="1"/>
  <c r="J62" i="1" a="1"/>
  <c r="J94" i="1" a="1"/>
  <c r="J27" i="1" a="1"/>
  <c r="J59" i="1" a="1"/>
  <c r="J91" i="1" a="1"/>
  <c r="J76" i="1" a="1"/>
  <c r="J105" i="1" a="1"/>
  <c r="J35" i="1" a="1"/>
  <c r="J80" i="1" a="1"/>
  <c r="J109" i="1" a="1"/>
  <c r="J39" i="1" a="1"/>
  <c r="J116" i="1" a="1"/>
  <c r="J78" i="1" a="1"/>
  <c r="J56" i="1" a="1"/>
  <c r="J85" i="1" a="1"/>
  <c r="J47" i="1" a="1"/>
  <c r="J40" i="1" a="1"/>
  <c r="J72" i="1" a="1"/>
  <c r="J104" i="1" a="1"/>
  <c r="J37" i="1" a="1"/>
  <c r="J69" i="1" a="1"/>
  <c r="J101" i="1" a="1"/>
  <c r="J34" i="1" a="1"/>
  <c r="J66" i="1" a="1"/>
  <c r="J98" i="1" a="1"/>
  <c r="J31" i="1" a="1"/>
  <c r="J63" i="1" a="1"/>
  <c r="J95" i="1" a="1"/>
  <c r="J44" i="1" a="1"/>
  <c r="J73" i="1" a="1"/>
  <c r="J102" i="1" a="1"/>
  <c r="J112" i="1" a="1"/>
  <c r="J42" i="1" a="1"/>
  <c r="J71" i="1" a="1"/>
  <c r="J49" i="1" a="1"/>
  <c r="J43" i="1" a="1"/>
  <c r="J24" i="1" a="1"/>
  <c r="J50" i="1" a="1"/>
  <c r="J111" i="1" a="1"/>
  <c r="H4" i="1" a="1"/>
  <c r="H4" i="1" l="1"/>
  <c r="J111" i="1"/>
  <c r="J50" i="1"/>
  <c r="J24" i="1"/>
  <c r="J43" i="1"/>
  <c r="J49" i="1"/>
  <c r="J71" i="1"/>
  <c r="J42" i="1"/>
  <c r="J112" i="1"/>
  <c r="J102" i="1"/>
  <c r="J73" i="1"/>
  <c r="J44" i="1"/>
  <c r="J95" i="1"/>
  <c r="J63" i="1"/>
  <c r="J31" i="1"/>
  <c r="J98" i="1"/>
  <c r="J66" i="1"/>
  <c r="J34" i="1"/>
  <c r="J101" i="1"/>
  <c r="J69" i="1"/>
  <c r="J37" i="1"/>
  <c r="J104" i="1"/>
  <c r="J72" i="1"/>
  <c r="J40" i="1"/>
  <c r="J47" i="1"/>
  <c r="J85" i="1"/>
  <c r="J56" i="1"/>
  <c r="J78" i="1"/>
  <c r="J116" i="1"/>
  <c r="J39" i="1"/>
  <c r="J109" i="1"/>
  <c r="J80" i="1"/>
  <c r="J35" i="1"/>
  <c r="J105" i="1"/>
  <c r="J76" i="1"/>
  <c r="J91" i="1"/>
  <c r="J59" i="1"/>
  <c r="J27" i="1"/>
  <c r="J94" i="1"/>
  <c r="J62" i="1"/>
  <c r="J30" i="1"/>
  <c r="J97" i="1"/>
  <c r="J65" i="1"/>
  <c r="J33" i="1"/>
  <c r="J100" i="1"/>
  <c r="J68" i="1"/>
  <c r="J36" i="1"/>
  <c r="J79" i="1"/>
  <c r="J117" i="1"/>
  <c r="J88" i="1"/>
  <c r="J75" i="1"/>
  <c r="J46" i="1"/>
  <c r="J84" i="1"/>
  <c r="J106" i="1"/>
  <c r="J77" i="1"/>
  <c r="J45" i="1"/>
  <c r="J67" i="1"/>
  <c r="J38" i="1"/>
  <c r="J108" i="1"/>
  <c r="J19" i="1"/>
  <c r="J87" i="1"/>
  <c r="J55" i="1"/>
  <c r="J23" i="1"/>
  <c r="J90" i="1"/>
  <c r="J58" i="1"/>
  <c r="J26" i="1"/>
  <c r="J93" i="1"/>
  <c r="J61" i="1"/>
  <c r="J29" i="1"/>
  <c r="J96" i="1"/>
  <c r="J64" i="1"/>
  <c r="J32" i="1"/>
  <c r="J82" i="1"/>
  <c r="J53" i="1"/>
  <c r="J21" i="1"/>
  <c r="J107" i="1"/>
  <c r="J110" i="1"/>
  <c r="J81" i="1"/>
  <c r="J103" i="1"/>
  <c r="J74" i="1"/>
  <c r="J48" i="1"/>
  <c r="J99" i="1"/>
  <c r="J70" i="1"/>
  <c r="J41" i="1"/>
  <c r="J115" i="1"/>
  <c r="J83" i="1"/>
  <c r="J51" i="1"/>
  <c r="J118" i="1"/>
  <c r="J86" i="1"/>
  <c r="J54" i="1"/>
  <c r="J22" i="1"/>
  <c r="J89" i="1"/>
  <c r="J57" i="1"/>
  <c r="J25" i="1"/>
  <c r="J92" i="1"/>
  <c r="J60" i="1"/>
  <c r="J28" i="1"/>
  <c r="J114" i="1"/>
  <c r="J113" i="1"/>
  <c r="J52" i="1"/>
  <c r="J20" i="1"/>
  <c r="H68" i="1" a="1"/>
  <c r="F107" i="1" a="1"/>
  <c r="E59" i="1" a="1"/>
  <c r="H62" i="1" a="1"/>
  <c r="G84" i="1" a="1"/>
  <c r="H94" i="1" a="1"/>
  <c r="G67" i="1" a="1"/>
  <c r="G79" i="1" a="1"/>
  <c r="K19" i="1" a="1"/>
  <c r="G27" i="1" a="1"/>
  <c r="C111" i="1" a="1"/>
  <c r="G103" i="1" a="1"/>
  <c r="B30" i="1" a="1"/>
  <c r="G69" i="1" a="1"/>
  <c r="C86" i="1" a="1"/>
  <c r="F67" i="1" a="1"/>
  <c r="H50" i="1" a="1"/>
  <c r="G118" i="1" a="1"/>
  <c r="K87" i="1" a="1"/>
  <c r="G59" i="1" a="1"/>
  <c r="G29" i="1" a="1"/>
  <c r="C70" i="1" a="1"/>
  <c r="G32" i="1" a="1"/>
  <c r="E106" i="1" a="1"/>
  <c r="B60" i="1" a="1"/>
  <c r="K108" i="1" a="1"/>
  <c r="E85" i="1" a="1"/>
  <c r="F35" i="1" a="1"/>
  <c r="K59" i="1" a="1"/>
  <c r="H45" i="1" a="1"/>
  <c r="E24" i="1" a="1"/>
  <c r="D84" i="1" a="1"/>
  <c r="B50" i="1" a="1"/>
  <c r="D111" i="1" a="1"/>
  <c r="C68" i="1" a="1"/>
  <c r="D114" i="1" a="1"/>
  <c r="E101" i="1" a="1"/>
  <c r="G60" i="1" a="1"/>
  <c r="E42" i="1" a="1"/>
  <c r="D89" i="1" a="1"/>
  <c r="F82" i="1" a="1"/>
  <c r="E93" i="1" a="1"/>
  <c r="E112" i="1" a="1"/>
  <c r="B98" i="1" a="1"/>
  <c r="D90" i="1" a="1"/>
  <c r="F118" i="1" a="1"/>
  <c r="H66" i="1" a="1"/>
  <c r="H23" i="1" a="1"/>
  <c r="F21" i="1" a="1"/>
  <c r="B66" i="1" a="1"/>
  <c r="K46" i="1" a="1"/>
  <c r="G93" i="1" a="1"/>
  <c r="F42" i="1" a="1"/>
  <c r="E41" i="1" a="1"/>
  <c r="C24" i="1" a="1"/>
  <c r="C92" i="1" a="1"/>
  <c r="E92" i="1" a="1"/>
  <c r="H64" i="1" a="1"/>
  <c r="E19" i="1" a="1"/>
  <c r="H88" i="1" a="1"/>
  <c r="F95" i="1" a="1"/>
  <c r="C112" i="1" a="1"/>
  <c r="C44" i="1" a="1"/>
  <c r="E94" i="1" a="1"/>
  <c r="F100" i="1" a="1"/>
  <c r="G36" i="1" a="1"/>
  <c r="B112" i="1" a="1"/>
  <c r="H109" i="1" a="1"/>
  <c r="H75" i="1" a="1"/>
  <c r="E58" i="1" a="1"/>
  <c r="B70" i="1" a="1"/>
  <c r="D37" i="1" a="1"/>
  <c r="D115" i="1" a="1"/>
  <c r="B105" i="1" a="1"/>
  <c r="D58" i="1" a="1"/>
  <c r="K92" i="1" a="1"/>
  <c r="D66" i="1" a="1"/>
  <c r="C78" i="1" a="1"/>
  <c r="H80" i="1" a="1"/>
  <c r="F40" i="1" a="1"/>
  <c r="F46" i="1" a="1"/>
  <c r="D81" i="1" a="1"/>
  <c r="K40" i="1" a="1"/>
  <c r="G21" i="1" a="1"/>
  <c r="J16" i="1" a="1"/>
  <c r="C113" i="1" a="1"/>
  <c r="C89" i="1" a="1"/>
  <c r="K35" i="1" a="1"/>
  <c r="G116" i="1" a="1"/>
  <c r="D35" i="1" a="1"/>
  <c r="F87" i="1" a="1"/>
  <c r="B56" i="1" a="1"/>
  <c r="D116" i="1" a="1"/>
  <c r="B103" i="1" a="1"/>
  <c r="K103" i="1" a="1"/>
  <c r="E99" i="1" a="1"/>
  <c r="F80" i="1" a="1"/>
  <c r="F61" i="1" a="1"/>
  <c r="G24" i="1" a="1"/>
  <c r="E30" i="1" a="1"/>
  <c r="G44" i="1" a="1"/>
  <c r="H72" i="1" a="1"/>
  <c r="D78" i="1" a="1"/>
  <c r="C107" i="1" a="1"/>
  <c r="F53" i="1" a="1"/>
  <c r="B67" i="1" a="1"/>
  <c r="E23" i="1" a="1"/>
  <c r="K96" i="1" a="1"/>
  <c r="D87" i="1" a="1"/>
  <c r="G92" i="1" a="1"/>
  <c r="H39" i="1" a="1"/>
  <c r="B104" i="1" a="1"/>
  <c r="D76" i="1" a="1"/>
  <c r="G87" i="1" a="1"/>
  <c r="B23" i="1" a="1"/>
  <c r="C117" i="1" a="1"/>
  <c r="B41" i="1" a="1"/>
  <c r="K16" i="1" a="1"/>
  <c r="C71" i="1" a="1"/>
  <c r="D103" i="1" a="1"/>
  <c r="D97" i="1" a="1"/>
  <c r="E73" i="1" a="1"/>
  <c r="C23" i="1" a="1"/>
  <c r="D26" i="1" a="1"/>
  <c r="D77" i="1" a="1"/>
  <c r="F51" i="1" a="1"/>
  <c r="E32" i="1" a="1"/>
  <c r="F92" i="1" a="1"/>
  <c r="E86" i="1" a="1"/>
  <c r="C88" i="1" a="1"/>
  <c r="K109" i="1" a="1"/>
  <c r="H79" i="1" a="1"/>
  <c r="G25" i="1" a="1"/>
  <c r="K21" i="1" a="1"/>
  <c r="F101" i="1" a="1"/>
  <c r="E87" i="1" a="1"/>
  <c r="B44" i="1" a="1"/>
  <c r="F39" i="1" a="1"/>
  <c r="G50" i="1" a="1"/>
  <c r="F102" i="1" a="1"/>
  <c r="C69" i="1" a="1"/>
  <c r="G113" i="1" a="1"/>
  <c r="B52" i="1" a="1"/>
  <c r="H91" i="1" a="1"/>
  <c r="K88" i="1" a="1"/>
  <c r="F84" i="1" a="1"/>
  <c r="G114" i="1" a="1"/>
  <c r="D49" i="1" a="1"/>
  <c r="F19" i="1" a="1"/>
  <c r="C39" i="1" a="1"/>
  <c r="H95" i="1" a="1"/>
  <c r="C34" i="1" a="1"/>
  <c r="F72" i="1" a="1"/>
  <c r="D82" i="1" a="1"/>
  <c r="B69" i="1" a="1"/>
  <c r="E50" i="1" a="1"/>
  <c r="G38" i="1" a="1"/>
  <c r="D110" i="1" a="1"/>
  <c r="C41" i="1" a="1"/>
  <c r="K76" i="1" a="1"/>
  <c r="H27" i="1" a="1"/>
  <c r="B116" i="1" a="1"/>
  <c r="H92" i="1" a="1"/>
  <c r="F110" i="1" a="1"/>
  <c r="K31" i="1" a="1"/>
  <c r="D63" i="1" a="1"/>
  <c r="C26" i="1" a="1"/>
  <c r="K78" i="1" a="1"/>
  <c r="E88" i="1" a="1"/>
  <c r="G75" i="1" a="1"/>
  <c r="E82" i="1" a="1"/>
  <c r="B77" i="1" a="1"/>
  <c r="F115" i="1" a="1"/>
  <c r="E22" i="1" a="1"/>
  <c r="E71" i="1" a="1"/>
  <c r="F76" i="1" a="1"/>
  <c r="B117" i="1" a="1"/>
  <c r="K113" i="1" a="1"/>
  <c r="H21" i="1" a="1"/>
  <c r="E76" i="1" a="1"/>
  <c r="E90" i="1" a="1"/>
  <c r="D28" i="1" a="1"/>
  <c r="G98" i="1" a="1"/>
  <c r="G80" i="1" a="1"/>
  <c r="C67" i="1" a="1"/>
  <c r="E54" i="1" a="1"/>
  <c r="H44" i="1" a="1"/>
  <c r="G20" i="1" a="1"/>
  <c r="B75" i="1" a="1"/>
  <c r="K55" i="1" a="1"/>
  <c r="F103" i="1" a="1"/>
  <c r="C83" i="1" a="1"/>
  <c r="F111" i="1" a="1"/>
  <c r="G96" i="1" a="1"/>
  <c r="B113" i="1" a="1"/>
  <c r="F29" i="1" a="1"/>
  <c r="B71" i="1" a="1"/>
  <c r="G45" i="1" a="1"/>
  <c r="G19" i="1" a="1"/>
  <c r="E75" i="1" a="1"/>
  <c r="C97" i="1" a="1"/>
  <c r="E25" i="1" a="1"/>
  <c r="D30" i="1" a="1"/>
  <c r="K72" i="1" a="1"/>
  <c r="K91" i="1" a="1"/>
  <c r="F43" i="1" a="1"/>
  <c r="C108" i="1" a="1"/>
  <c r="K81" i="1" a="1"/>
  <c r="H73" i="1" a="1"/>
  <c r="G55" i="1" a="1"/>
  <c r="E43" i="1" a="1"/>
  <c r="F73" i="1" a="1"/>
  <c r="B118" i="1" a="1"/>
  <c r="K97" i="1" a="1"/>
  <c r="H63" i="1" a="1"/>
  <c r="H83" i="1" a="1"/>
  <c r="B26" i="1" a="1"/>
  <c r="D50" i="1" a="1"/>
  <c r="B82" i="1" a="1"/>
  <c r="D57" i="1" a="1"/>
  <c r="G101" i="1" a="1"/>
  <c r="H78" i="1" a="1"/>
  <c r="B109" i="1" a="1"/>
  <c r="F94" i="1" a="1"/>
  <c r="C90" i="1" a="1"/>
  <c r="K94" i="1" a="1"/>
  <c r="K77" i="1" a="1"/>
  <c r="C64" i="1" a="1"/>
  <c r="D117" i="1" a="1"/>
  <c r="F109" i="1" a="1"/>
  <c r="K82" i="1" a="1"/>
  <c r="B45" i="1" a="1"/>
  <c r="K93" i="1" a="1"/>
  <c r="C77" i="1" a="1"/>
  <c r="H97" i="1" a="1"/>
  <c r="K53" i="1" a="1"/>
  <c r="G71" i="1" a="1"/>
  <c r="H101" i="1" a="1"/>
  <c r="E98" i="1" a="1"/>
  <c r="F23" i="1" a="1"/>
  <c r="H32" i="1" a="1"/>
  <c r="C29" i="1" a="1"/>
  <c r="C63" i="1" a="1"/>
  <c r="G40" i="1" a="1"/>
  <c r="H28" i="1" a="1"/>
  <c r="K33" i="1" a="1"/>
  <c r="E55" i="1" a="1"/>
  <c r="C32" i="1" a="1"/>
  <c r="B38" i="1" a="1"/>
  <c r="C82" i="1" a="1"/>
  <c r="B63" i="1" a="1"/>
  <c r="F31" i="1" a="1"/>
  <c r="K27" i="1" a="1"/>
  <c r="F83" i="1" a="1"/>
  <c r="H30" i="1" a="1"/>
  <c r="G49" i="1" a="1"/>
  <c r="C37" i="1" a="1"/>
  <c r="D86" i="1" a="1"/>
  <c r="H24" i="1" a="1"/>
  <c r="E29" i="1" a="1"/>
  <c r="E67" i="1" a="1"/>
  <c r="B61" i="1" a="1"/>
  <c r="E109" i="1" a="1"/>
  <c r="H33" i="1" a="1"/>
  <c r="E68" i="1" a="1"/>
  <c r="B34" i="1" a="1"/>
  <c r="B19" i="1" a="1"/>
  <c r="G58" i="1" a="1"/>
  <c r="H37" i="1" a="1"/>
  <c r="K79" i="1" a="1"/>
  <c r="E44" i="1" a="1"/>
  <c r="G28" i="1" a="1"/>
  <c r="G89" i="1" a="1"/>
  <c r="H58" i="1" a="1"/>
  <c r="E21" i="1" a="1"/>
  <c r="C101" i="1" a="1"/>
  <c r="E89" i="1" a="1"/>
  <c r="H54" i="1" a="1"/>
  <c r="D91" i="1" a="1"/>
  <c r="B59" i="1" a="1"/>
  <c r="D29" i="1" a="1"/>
  <c r="E117" i="1" a="1"/>
  <c r="K50" i="1" a="1"/>
  <c r="K102" i="1" a="1"/>
  <c r="H40" i="1" a="1"/>
  <c r="C19" i="1" a="1"/>
  <c r="K61" i="1" a="1"/>
  <c r="E111" i="1" a="1"/>
  <c r="D55" i="1" a="1"/>
  <c r="H43" i="1" a="1"/>
  <c r="E81" i="1" a="1"/>
  <c r="B114" i="1" a="1"/>
  <c r="D102" i="1" a="1"/>
  <c r="F85" i="1" a="1"/>
  <c r="D33" i="1" a="1"/>
  <c r="F114" i="1" a="1"/>
  <c r="F48" i="1" a="1"/>
  <c r="B85" i="1" a="1"/>
  <c r="B55" i="1" a="1"/>
  <c r="D27" i="1" a="1"/>
  <c r="C49" i="1" a="1"/>
  <c r="F64" i="1" a="1"/>
  <c r="K90" i="1" a="1"/>
  <c r="G76" i="1" a="1"/>
  <c r="B110" i="1" a="1"/>
  <c r="D96" i="1" a="1"/>
  <c r="C25" i="1" a="1"/>
  <c r="D39" i="1" a="1"/>
  <c r="B101" i="1" a="1"/>
  <c r="E48" i="1" a="1"/>
  <c r="E60" i="1" a="1"/>
  <c r="F52" i="1" a="1"/>
  <c r="G95" i="1" a="1"/>
  <c r="H29" i="1" a="1"/>
  <c r="H90" i="1" a="1"/>
  <c r="C58" i="1" a="1"/>
  <c r="C40" i="1" a="1"/>
  <c r="E83" i="1" a="1"/>
  <c r="C118" i="1" a="1"/>
  <c r="B79" i="1" a="1"/>
  <c r="B107" i="1" a="1"/>
  <c r="K74" i="1" a="1"/>
  <c r="F70" i="1" a="1"/>
  <c r="K51" i="1" a="1"/>
  <c r="C55" i="1" a="1"/>
  <c r="D75" i="1" a="1"/>
  <c r="E39" i="1" a="1"/>
  <c r="G33" i="1" a="1"/>
  <c r="D105" i="1" a="1"/>
  <c r="G66" i="1" a="1"/>
  <c r="C30" i="1" a="1"/>
  <c r="G16" i="1" a="1"/>
  <c r="K25" i="1" a="1"/>
  <c r="G23" i="1" a="1"/>
  <c r="K56" i="1" a="1"/>
  <c r="K60" i="1" a="1"/>
  <c r="B74" i="1" a="1"/>
  <c r="D46" i="1" a="1"/>
  <c r="E38" i="1" a="1"/>
  <c r="G51" i="1" a="1"/>
  <c r="C93" i="1" a="1"/>
  <c r="G97" i="1" a="1"/>
  <c r="C59" i="1" a="1"/>
  <c r="F25" i="1" a="1"/>
  <c r="E52" i="1" a="1"/>
  <c r="F16" i="1" a="1"/>
  <c r="D53" i="1" a="1"/>
  <c r="C56" i="1" a="1"/>
  <c r="C110" i="1" a="1"/>
  <c r="C42" i="1" a="1"/>
  <c r="G37" i="1" a="1"/>
  <c r="F38" i="1" a="1"/>
  <c r="B89" i="1" a="1"/>
  <c r="B106" i="1" a="1"/>
  <c r="B73" i="1" a="1"/>
  <c r="B72" i="1" a="1"/>
  <c r="F27" i="1" a="1"/>
  <c r="C85" i="1" a="1"/>
  <c r="K42" i="1" a="1"/>
  <c r="G110" i="1" a="1"/>
  <c r="C60" i="1" a="1"/>
  <c r="D107" i="1" a="1"/>
  <c r="H67" i="1" a="1"/>
  <c r="C94" i="1" a="1"/>
  <c r="B87" i="1" a="1"/>
  <c r="E100" i="1" a="1"/>
  <c r="C91" i="1" a="1"/>
  <c r="C106" i="1" a="1"/>
  <c r="H84" i="1" a="1"/>
  <c r="G82" i="1" a="1"/>
  <c r="D113" i="1" a="1"/>
  <c r="E113" i="1" a="1"/>
  <c r="E16" i="1" a="1"/>
  <c r="F63" i="1" a="1"/>
  <c r="F47" i="1" a="1"/>
  <c r="C95" i="1" a="1"/>
  <c r="B108" i="1" a="1"/>
  <c r="F65" i="1" a="1"/>
  <c r="C45" i="1" a="1"/>
  <c r="H114" i="1" a="1"/>
  <c r="F106" i="1" a="1"/>
  <c r="E20" i="1" a="1"/>
  <c r="D32" i="1" a="1"/>
  <c r="B39" i="1" a="1"/>
  <c r="H38" i="1" a="1"/>
  <c r="G77" i="1" a="1"/>
  <c r="K115" i="1" a="1"/>
  <c r="B36" i="1" a="1"/>
  <c r="F24" i="1" a="1"/>
  <c r="K117" i="1" a="1"/>
  <c r="F78" i="1" a="1"/>
  <c r="K111" i="1" a="1"/>
  <c r="B62" i="1" a="1"/>
  <c r="K118" i="1" a="1"/>
  <c r="G26" i="1" a="1"/>
  <c r="H115" i="1" a="1"/>
  <c r="C116" i="1" a="1"/>
  <c r="E61" i="1" a="1"/>
  <c r="F96" i="1" a="1"/>
  <c r="G70" i="1" a="1"/>
  <c r="D99" i="1" a="1"/>
  <c r="G46" i="1" a="1"/>
  <c r="K32" i="1" a="1"/>
  <c r="C80" i="1" a="1"/>
  <c r="D47" i="1" a="1"/>
  <c r="C98" i="1" a="1"/>
  <c r="K95" i="1" a="1"/>
  <c r="D22" i="1" a="1"/>
  <c r="D25" i="1" a="1"/>
  <c r="H34" i="1" a="1"/>
  <c r="D56" i="1" a="1"/>
  <c r="E64" i="1" a="1"/>
  <c r="C103" i="1" a="1"/>
  <c r="F88" i="1" a="1"/>
  <c r="B96" i="1" a="1"/>
  <c r="G112" i="1" a="1"/>
  <c r="E40" i="1" a="1"/>
  <c r="K64" i="1" a="1"/>
  <c r="F60" i="1" a="1"/>
  <c r="B54" i="1" a="1"/>
  <c r="B31" i="1" a="1"/>
  <c r="C46" i="1" a="1"/>
  <c r="C66" i="1" a="1"/>
  <c r="B68" i="1" a="1"/>
  <c r="F36" i="1" a="1"/>
  <c r="C65" i="1" a="1"/>
  <c r="D72" i="1" a="1"/>
  <c r="E28" i="1" a="1"/>
  <c r="F62" i="1" a="1"/>
  <c r="H55" i="1" a="1"/>
  <c r="K73" i="1" a="1"/>
  <c r="B46" i="1" a="1"/>
  <c r="G115" i="1" a="1"/>
  <c r="B99" i="1" a="1"/>
  <c r="E95" i="1" a="1"/>
  <c r="K114" i="1" a="1"/>
  <c r="F56" i="1" a="1"/>
  <c r="D21" i="1" a="1"/>
  <c r="D36" i="1" a="1"/>
  <c r="E66" i="1" a="1"/>
  <c r="D104" i="1" a="1"/>
  <c r="D71" i="1" a="1"/>
  <c r="D51" i="1" a="1"/>
  <c r="B81" i="1" a="1"/>
  <c r="C76" i="1" a="1"/>
  <c r="G53" i="1" a="1"/>
  <c r="H117" i="1" a="1"/>
  <c r="C54" i="1" a="1"/>
  <c r="F104" i="1" a="1"/>
  <c r="K34" i="1" a="1"/>
  <c r="C114" i="1" a="1"/>
  <c r="H108" i="1" a="1"/>
  <c r="C81" i="1" a="1"/>
  <c r="B92" i="1" a="1"/>
  <c r="H35" i="1" a="1"/>
  <c r="D62" i="1" a="1"/>
  <c r="K48" i="1" a="1"/>
  <c r="F108" i="1" a="1"/>
  <c r="G117" i="1" a="1"/>
  <c r="E57" i="1" a="1"/>
  <c r="G68" i="1" a="1"/>
  <c r="F28" i="1" a="1"/>
  <c r="H69" i="1" a="1"/>
  <c r="C99" i="1" a="1"/>
  <c r="F66" i="1" a="1"/>
  <c r="D31" i="1" a="1"/>
  <c r="B33" i="1" a="1"/>
  <c r="H48" i="1" a="1"/>
  <c r="B53" i="1" a="1"/>
  <c r="E46" i="1" a="1"/>
  <c r="K63" i="1" a="1"/>
  <c r="H77" i="1" a="1"/>
  <c r="E105" i="1" a="1"/>
  <c r="B93" i="1" a="1"/>
  <c r="F105" i="1" a="1"/>
  <c r="F22" i="1" a="1"/>
  <c r="D79" i="1" a="1"/>
  <c r="D106" i="1" a="1"/>
  <c r="B91" i="1" a="1"/>
  <c r="F74" i="1" a="1"/>
  <c r="F79" i="1" a="1"/>
  <c r="K65" i="1" a="1"/>
  <c r="D80" i="1" a="1"/>
  <c r="H41" i="1" a="1"/>
  <c r="F81" i="1" a="1"/>
  <c r="E31" i="1" a="1"/>
  <c r="G72" i="1" a="1"/>
  <c r="C50" i="1" a="1"/>
  <c r="K41" i="1" a="1"/>
  <c r="D109" i="1" a="1"/>
  <c r="D101" i="1" a="1"/>
  <c r="D43" i="1" a="1"/>
  <c r="H36" i="1" a="1"/>
  <c r="H74" i="1" a="1"/>
  <c r="K67" i="1" a="1"/>
  <c r="F33" i="1" a="1"/>
  <c r="G99" i="1" a="1"/>
  <c r="D59" i="1" a="1"/>
  <c r="D38" i="1" a="1"/>
  <c r="B35" i="1" a="1"/>
  <c r="K70" i="1" a="1"/>
  <c r="K101" i="1" a="1"/>
  <c r="B90" i="1" a="1"/>
  <c r="B94" i="1" a="1"/>
  <c r="K100" i="1" a="1"/>
  <c r="F20" i="1" a="1"/>
  <c r="H93" i="1" a="1"/>
  <c r="E115" i="1" a="1"/>
  <c r="E118" i="1" a="1"/>
  <c r="F54" i="1" a="1"/>
  <c r="G54" i="1" a="1"/>
  <c r="C52" i="1" a="1"/>
  <c r="B21" i="1" a="1"/>
  <c r="H22" i="1" a="1"/>
  <c r="K85" i="1" a="1"/>
  <c r="K68" i="1" a="1"/>
  <c r="D60" i="1" a="1"/>
  <c r="F97" i="1" a="1"/>
  <c r="D95" i="1" a="1"/>
  <c r="B64" i="1" a="1"/>
  <c r="C27" i="1" a="1"/>
  <c r="H59" i="1" a="1"/>
  <c r="H71" i="1" a="1"/>
  <c r="E56" i="1" a="1"/>
  <c r="B78" i="1" a="1"/>
  <c r="G94" i="1" a="1"/>
  <c r="C105" i="1" a="1"/>
  <c r="H106" i="1" a="1"/>
  <c r="K116" i="1" a="1"/>
  <c r="D34" i="1" a="1"/>
  <c r="D16" i="1" a="1"/>
  <c r="K98" i="1" a="1"/>
  <c r="C115" i="1" a="1"/>
  <c r="F99" i="1" a="1"/>
  <c r="G65" i="1" a="1"/>
  <c r="B27" i="1" a="1"/>
  <c r="F89" i="1" a="1"/>
  <c r="K23" i="1" a="1"/>
  <c r="H52" i="1" a="1"/>
  <c r="K66" i="1" a="1"/>
  <c r="E102" i="1" a="1"/>
  <c r="E26" i="1" a="1"/>
  <c r="K52" i="1" a="1"/>
  <c r="C73" i="1" a="1"/>
  <c r="H81" i="1" a="1"/>
  <c r="G41" i="1" a="1"/>
  <c r="C102" i="1" a="1"/>
  <c r="C75" i="1" a="1"/>
  <c r="K83" i="1" a="1"/>
  <c r="F44" i="1" a="1"/>
  <c r="B20" i="1" a="1"/>
  <c r="G108" i="1" a="1"/>
  <c r="G22" i="1" a="1"/>
  <c r="K80" i="1" a="1"/>
  <c r="K20" i="1" a="1"/>
  <c r="G102" i="1" a="1"/>
  <c r="F117" i="1" a="1"/>
  <c r="F41" i="1" a="1"/>
  <c r="G73" i="1" a="1"/>
  <c r="G62" i="1" a="1"/>
  <c r="K110" i="1" a="1"/>
  <c r="G48" i="1" a="1"/>
  <c r="E116" i="1" a="1"/>
  <c r="K107" i="1" a="1"/>
  <c r="E107" i="1" a="1"/>
  <c r="H85" i="1" a="1"/>
  <c r="D94" i="1" a="1"/>
  <c r="K84" i="1" a="1"/>
  <c r="B88" i="1" a="1"/>
  <c r="E114" i="1" a="1"/>
  <c r="B28" i="1" a="1"/>
  <c r="F30" i="1" a="1"/>
  <c r="G100" i="1" a="1"/>
  <c r="K62" i="1" a="1"/>
  <c r="B24" i="1" a="1"/>
  <c r="C36" i="1" a="1"/>
  <c r="E110" i="1" a="1"/>
  <c r="B37" i="1" a="1"/>
  <c r="K58" i="1" a="1"/>
  <c r="B100" i="1" a="1"/>
  <c r="B43" i="1" a="1"/>
  <c r="B42" i="1" a="1"/>
  <c r="G88" i="1" a="1"/>
  <c r="K69" i="1" a="1"/>
  <c r="E45" i="1" a="1"/>
  <c r="E79" i="1" a="1"/>
  <c r="F69" i="1" a="1"/>
  <c r="F112" i="1" a="1"/>
  <c r="D93" i="1" a="1"/>
  <c r="D20" i="1" a="1"/>
  <c r="G52" i="1" a="1"/>
  <c r="G91" i="1" a="1"/>
  <c r="C100" i="1" a="1"/>
  <c r="H104" i="1" a="1"/>
  <c r="K26" i="1" a="1"/>
  <c r="H49" i="1" a="1"/>
  <c r="H57" i="1" a="1"/>
  <c r="H99" i="1" a="1"/>
  <c r="C104" i="1" a="1"/>
  <c r="B65" i="1" a="1"/>
  <c r="F91" i="1" a="1"/>
  <c r="C109" i="1" a="1"/>
  <c r="E62" i="1" a="1"/>
  <c r="C22" i="1" a="1"/>
  <c r="H61" i="1" a="1"/>
  <c r="G63" i="1" a="1"/>
  <c r="B25" i="1" a="1"/>
  <c r="H107" i="1" a="1"/>
  <c r="B49" i="1" a="1"/>
  <c r="G81" i="1" a="1"/>
  <c r="E96" i="1" a="1"/>
  <c r="M16" i="1" a="1"/>
  <c r="G34" i="1" a="1"/>
  <c r="G111" i="1" a="1"/>
  <c r="G35" i="1" a="1"/>
  <c r="K28" i="1" a="1"/>
  <c r="H100" i="1" a="1"/>
  <c r="F26" i="1" a="1"/>
  <c r="K30" i="1" a="1"/>
  <c r="D83" i="1" a="1"/>
  <c r="G56" i="1" a="1"/>
  <c r="E53" i="1" a="1"/>
  <c r="E63" i="1" a="1"/>
  <c r="H87" i="1" a="1"/>
  <c r="C62" i="1" a="1"/>
  <c r="E36" i="1" a="1"/>
  <c r="D61" i="1" a="1"/>
  <c r="F37" i="1" a="1"/>
  <c r="H103" i="1" a="1"/>
  <c r="D68" i="1" a="1"/>
  <c r="K24" i="1" a="1"/>
  <c r="C84" i="1" a="1"/>
  <c r="B86" i="1" a="1"/>
  <c r="C61" i="1" a="1"/>
  <c r="F55" i="1" a="1"/>
  <c r="D44" i="1" a="1"/>
  <c r="C38" i="1" a="1"/>
  <c r="G109" i="1" a="1"/>
  <c r="D108" i="1" a="1"/>
  <c r="H96" i="1" a="1"/>
  <c r="K89" i="1" a="1"/>
  <c r="K45" i="1" a="1"/>
  <c r="G30" i="1" a="1"/>
  <c r="K106" i="1" a="1"/>
  <c r="C48" i="1" a="1"/>
  <c r="F86" i="1" a="1"/>
  <c r="F49" i="1" a="1"/>
  <c r="H111" i="1" a="1"/>
  <c r="G104" i="1" a="1"/>
  <c r="D65" i="1" a="1"/>
  <c r="K105" i="1" a="1"/>
  <c r="K86" i="1" a="1"/>
  <c r="K36" i="1" a="1"/>
  <c r="K44" i="1" a="1"/>
  <c r="H70" i="1" a="1"/>
  <c r="E108" i="1" a="1"/>
  <c r="K57" i="1" a="1"/>
  <c r="H53" i="1" a="1"/>
  <c r="D67" i="1" a="1"/>
  <c r="D74" i="1" a="1"/>
  <c r="F50" i="1" a="1"/>
  <c r="K47" i="1" a="1"/>
  <c r="K43" i="1" a="1"/>
  <c r="C53" i="1" a="1"/>
  <c r="G86" i="1" a="1"/>
  <c r="D19" i="1" a="1"/>
  <c r="D52" i="1" a="1"/>
  <c r="F68" i="1" a="1"/>
  <c r="B40" i="1" a="1"/>
  <c r="H102" i="1" a="1"/>
  <c r="D92" i="1" a="1"/>
  <c r="C31" i="1" a="1"/>
  <c r="F58" i="1" a="1"/>
  <c r="C96" i="1" a="1"/>
  <c r="B16" i="1" a="1"/>
  <c r="B97" i="1" a="1"/>
  <c r="H25" i="1" a="1"/>
  <c r="H47" i="1" a="1"/>
  <c r="E27" i="1" a="1"/>
  <c r="F32" i="1" a="1"/>
  <c r="C79" i="1" a="1"/>
  <c r="D73" i="1" a="1"/>
  <c r="H76" i="1" a="1"/>
  <c r="F113" i="1" a="1"/>
  <c r="G83" i="1" a="1"/>
  <c r="F71" i="1" a="1"/>
  <c r="H20" i="1" a="1"/>
  <c r="H51" i="1" a="1"/>
  <c r="D41" i="1" a="1"/>
  <c r="C20" i="1" a="1"/>
  <c r="B111" i="1" a="1"/>
  <c r="D48" i="1" a="1"/>
  <c r="H118" i="1" a="1"/>
  <c r="B83" i="1" a="1"/>
  <c r="K22" i="1" a="1"/>
  <c r="K37" i="1" a="1"/>
  <c r="F34" i="1" a="1"/>
  <c r="K39" i="1" a="1"/>
  <c r="E70" i="1" a="1"/>
  <c r="H46" i="1" a="1"/>
  <c r="G47" i="1" a="1"/>
  <c r="C51" i="1" a="1"/>
  <c r="F98" i="1" a="1"/>
  <c r="E91" i="1" a="1"/>
  <c r="K29" i="1" a="1"/>
  <c r="G61" i="1" a="1"/>
  <c r="B84" i="1" a="1"/>
  <c r="D88" i="1" a="1"/>
  <c r="H98" i="1" a="1"/>
  <c r="E78" i="1" a="1"/>
  <c r="E84" i="1" a="1"/>
  <c r="D54" i="1" a="1"/>
  <c r="B76" i="1" a="1"/>
  <c r="H105" i="1" a="1"/>
  <c r="H31" i="1" a="1"/>
  <c r="G43" i="1" a="1"/>
  <c r="K38" i="1" a="1"/>
  <c r="G39" i="1" a="1"/>
  <c r="F93" i="1" a="1"/>
  <c r="E77" i="1" a="1"/>
  <c r="D23" i="1" a="1"/>
  <c r="K54" i="1" a="1"/>
  <c r="B58" i="1" a="1"/>
  <c r="E51" i="1" a="1"/>
  <c r="K71" i="1" a="1"/>
  <c r="E47" i="1" a="1"/>
  <c r="D112" i="1" a="1"/>
  <c r="B102" i="1" a="1"/>
  <c r="E104" i="1" a="1"/>
  <c r="H60" i="1" a="1"/>
  <c r="B22" i="1" a="1"/>
  <c r="D24" i="1" a="1"/>
  <c r="C16" i="1" a="1"/>
  <c r="H113" i="1" a="1"/>
  <c r="B80" i="1" a="1"/>
  <c r="H82" i="1" a="1"/>
  <c r="H89" i="1" a="1"/>
  <c r="D45" i="1" a="1"/>
  <c r="G105" i="1" a="1"/>
  <c r="H19" i="1" a="1"/>
  <c r="H26" i="1" a="1"/>
  <c r="B95" i="1" a="1"/>
  <c r="E97" i="1" a="1"/>
  <c r="F75" i="1" a="1"/>
  <c r="G42" i="1" a="1"/>
  <c r="E35" i="1" a="1"/>
  <c r="F57" i="1" a="1"/>
  <c r="B48" i="1" a="1"/>
  <c r="D69" i="1" a="1"/>
  <c r="K112" i="1" a="1"/>
  <c r="C47" i="1" a="1"/>
  <c r="D64" i="1" a="1"/>
  <c r="G107" i="1" a="1"/>
  <c r="B47" i="1" a="1"/>
  <c r="F45" i="1" a="1"/>
  <c r="H110" i="1" a="1"/>
  <c r="G31" i="1" a="1"/>
  <c r="E72" i="1" a="1"/>
  <c r="B51" i="1" a="1"/>
  <c r="C21" i="1" a="1"/>
  <c r="C43" i="1" a="1"/>
  <c r="H116" i="1" a="1"/>
  <c r="B57" i="1" a="1"/>
  <c r="C87" i="1" a="1"/>
  <c r="E80" i="1" a="1"/>
  <c r="E103" i="1" a="1"/>
  <c r="F116" i="1" a="1"/>
  <c r="H86" i="1" a="1"/>
  <c r="E37" i="1" a="1"/>
  <c r="B115" i="1" a="1"/>
  <c r="D40" i="1" a="1"/>
  <c r="B32" i="1" a="1"/>
  <c r="H112" i="1" a="1"/>
  <c r="E33" i="1" a="1"/>
  <c r="K75" i="1" a="1"/>
  <c r="C72" i="1" a="1"/>
  <c r="C33" i="1" a="1"/>
  <c r="E49" i="1" a="1"/>
  <c r="H56" i="1" a="1"/>
  <c r="G57" i="1" a="1"/>
  <c r="G85" i="1" a="1"/>
  <c r="G106" i="1" a="1"/>
  <c r="F59" i="1" a="1"/>
  <c r="G64" i="1" a="1"/>
  <c r="C35" i="1" a="1"/>
  <c r="G78" i="1" a="1"/>
  <c r="E69" i="1" a="1"/>
  <c r="D85" i="1" a="1"/>
  <c r="D70" i="1" a="1"/>
  <c r="C57" i="1" a="1"/>
  <c r="B29" i="1" a="1"/>
  <c r="K99" i="1" a="1"/>
  <c r="G74" i="1" a="1"/>
  <c r="H42" i="1" a="1"/>
  <c r="D98" i="1" a="1"/>
  <c r="E65" i="1" a="1"/>
  <c r="G90" i="1" a="1"/>
  <c r="C74" i="1" a="1"/>
  <c r="H65" i="1" a="1"/>
  <c r="F90" i="1" a="1"/>
  <c r="K49" i="1" a="1"/>
  <c r="F77" i="1" a="1"/>
  <c r="E34" i="1" a="1"/>
  <c r="D100" i="1" a="1"/>
  <c r="H16" i="1" a="1"/>
  <c r="D42" i="1" a="1"/>
  <c r="D118" i="1" a="1"/>
  <c r="E74" i="1" a="1"/>
  <c r="K104" i="1" a="1"/>
  <c r="C28" i="1" a="1"/>
  <c r="E96" i="1" l="1"/>
  <c r="E26" i="1"/>
  <c r="B89" i="1"/>
  <c r="F38" i="1"/>
  <c r="D78" i="1"/>
  <c r="G44" i="1"/>
  <c r="G109" i="1"/>
  <c r="F77" i="1"/>
  <c r="E63" i="1"/>
  <c r="E27" i="1"/>
  <c r="D79" i="1"/>
  <c r="G37" i="1"/>
  <c r="K94" i="1"/>
  <c r="M94" i="1" s="1"/>
  <c r="E30" i="1"/>
  <c r="G41" i="1"/>
  <c r="H81" i="1"/>
  <c r="K52" i="1"/>
  <c r="M52" i="1" s="1"/>
  <c r="B90" i="1"/>
  <c r="F22" i="1"/>
  <c r="C42" i="1"/>
  <c r="H72" i="1"/>
  <c r="G24" i="1"/>
  <c r="E102" i="1"/>
  <c r="F98" i="1"/>
  <c r="E107" i="1"/>
  <c r="H42" i="1"/>
  <c r="F105" i="1"/>
  <c r="C110" i="1"/>
  <c r="C90" i="1"/>
  <c r="F61" i="1"/>
  <c r="F44" i="1"/>
  <c r="B16" i="1"/>
  <c r="C96" i="1"/>
  <c r="B63" i="1"/>
  <c r="B93" i="1"/>
  <c r="C56" i="1"/>
  <c r="F94" i="1"/>
  <c r="F80" i="1"/>
  <c r="G81" i="1"/>
  <c r="K66" i="1"/>
  <c r="M66" i="1" s="1"/>
  <c r="G100" i="1"/>
  <c r="B108" i="1"/>
  <c r="E105" i="1"/>
  <c r="D53" i="1"/>
  <c r="B109" i="1"/>
  <c r="E99" i="1"/>
  <c r="K22" i="1"/>
  <c r="M22" i="1" s="1"/>
  <c r="H20" i="1"/>
  <c r="G35" i="1"/>
  <c r="K101" i="1"/>
  <c r="M101" i="1" s="1"/>
  <c r="H77" i="1"/>
  <c r="F16" i="1"/>
  <c r="H78" i="1"/>
  <c r="K103" i="1"/>
  <c r="M103" i="1" s="1"/>
  <c r="D45" i="1"/>
  <c r="C73" i="1"/>
  <c r="B49" i="1"/>
  <c r="E32" i="1"/>
  <c r="K63" i="1"/>
  <c r="M63" i="1" s="1"/>
  <c r="E52" i="1"/>
  <c r="G101" i="1"/>
  <c r="B103" i="1"/>
  <c r="H52" i="1"/>
  <c r="K104" i="1"/>
  <c r="M104" i="1" s="1"/>
  <c r="G31" i="1"/>
  <c r="C95" i="1"/>
  <c r="E46" i="1"/>
  <c r="F25" i="1"/>
  <c r="D57" i="1"/>
  <c r="D116" i="1"/>
  <c r="K112" i="1"/>
  <c r="M112" i="1" s="1"/>
  <c r="E97" i="1"/>
  <c r="M16" i="1"/>
  <c r="K70" i="1"/>
  <c r="M70" i="1" s="1"/>
  <c r="B53" i="1"/>
  <c r="C59" i="1"/>
  <c r="B82" i="1"/>
  <c r="B56" i="1"/>
  <c r="F58" i="1"/>
  <c r="H107" i="1"/>
  <c r="K23" i="1"/>
  <c r="M23" i="1" s="1"/>
  <c r="C82" i="1"/>
  <c r="H48" i="1"/>
  <c r="G97" i="1"/>
  <c r="D50" i="1"/>
  <c r="F87" i="1"/>
  <c r="C87" i="1"/>
  <c r="D68" i="1"/>
  <c r="F117" i="1"/>
  <c r="F51" i="1"/>
  <c r="B33" i="1"/>
  <c r="C93" i="1"/>
  <c r="B26" i="1"/>
  <c r="D35" i="1"/>
  <c r="H47" i="1"/>
  <c r="H89" i="1"/>
  <c r="C31" i="1"/>
  <c r="F47" i="1"/>
  <c r="D31" i="1"/>
  <c r="G51" i="1"/>
  <c r="H83" i="1"/>
  <c r="G116" i="1"/>
  <c r="B25" i="1"/>
  <c r="F89" i="1"/>
  <c r="C38" i="1"/>
  <c r="B35" i="1"/>
  <c r="F66" i="1"/>
  <c r="E38" i="1"/>
  <c r="H63" i="1"/>
  <c r="K35" i="1"/>
  <c r="M35" i="1" s="1"/>
  <c r="K49" i="1"/>
  <c r="M49" i="1" s="1"/>
  <c r="E53" i="1"/>
  <c r="G78" i="1"/>
  <c r="B38" i="1"/>
  <c r="C99" i="1"/>
  <c r="D46" i="1"/>
  <c r="K97" i="1"/>
  <c r="M97" i="1" s="1"/>
  <c r="C89" i="1"/>
  <c r="H82" i="1"/>
  <c r="D92" i="1"/>
  <c r="G63" i="1"/>
  <c r="D77" i="1"/>
  <c r="H69" i="1"/>
  <c r="B74" i="1"/>
  <c r="B118" i="1"/>
  <c r="C113" i="1"/>
  <c r="B27" i="1"/>
  <c r="C51" i="1"/>
  <c r="K107" i="1"/>
  <c r="M107" i="1" s="1"/>
  <c r="F63" i="1"/>
  <c r="F28" i="1"/>
  <c r="K60" i="1"/>
  <c r="M60" i="1" s="1"/>
  <c r="F73" i="1"/>
  <c r="J16" i="1"/>
  <c r="G74" i="1"/>
  <c r="K83" i="1"/>
  <c r="M83" i="1" s="1"/>
  <c r="B80" i="1"/>
  <c r="D38" i="1"/>
  <c r="G68" i="1"/>
  <c r="K56" i="1"/>
  <c r="M56" i="1" s="1"/>
  <c r="E43" i="1"/>
  <c r="G21" i="1"/>
  <c r="H102" i="1"/>
  <c r="H61" i="1"/>
  <c r="G65" i="1"/>
  <c r="C32" i="1"/>
  <c r="E57" i="1"/>
  <c r="G23" i="1"/>
  <c r="G55" i="1"/>
  <c r="K40" i="1"/>
  <c r="M40" i="1" s="1"/>
  <c r="F30" i="1"/>
  <c r="B83" i="1"/>
  <c r="F71" i="1"/>
  <c r="D26" i="1"/>
  <c r="G117" i="1"/>
  <c r="K25" i="1"/>
  <c r="M25" i="1" s="1"/>
  <c r="H73" i="1"/>
  <c r="D81" i="1"/>
  <c r="B95" i="1"/>
  <c r="H113" i="1"/>
  <c r="B40" i="1"/>
  <c r="E16" i="1"/>
  <c r="F108" i="1"/>
  <c r="G16" i="1"/>
  <c r="K81" i="1"/>
  <c r="M81" i="1" s="1"/>
  <c r="F46" i="1"/>
  <c r="C22" i="1"/>
  <c r="F99" i="1"/>
  <c r="B57" i="1"/>
  <c r="D59" i="1"/>
  <c r="K48" i="1"/>
  <c r="M48" i="1" s="1"/>
  <c r="C30" i="1"/>
  <c r="C108" i="1"/>
  <c r="F40" i="1"/>
  <c r="H110" i="1"/>
  <c r="D69" i="1"/>
  <c r="G111" i="1"/>
  <c r="E55" i="1"/>
  <c r="D62" i="1"/>
  <c r="G66" i="1"/>
  <c r="F43" i="1"/>
  <c r="H80" i="1"/>
  <c r="C16" i="1"/>
  <c r="F68" i="1"/>
  <c r="E62" i="1"/>
  <c r="C23" i="1"/>
  <c r="H35" i="1"/>
  <c r="D105" i="1"/>
  <c r="K91" i="1"/>
  <c r="M91" i="1" s="1"/>
  <c r="C78" i="1"/>
  <c r="C115" i="1"/>
  <c r="E74" i="1"/>
  <c r="H103" i="1"/>
  <c r="E113" i="1"/>
  <c r="B92" i="1"/>
  <c r="G33" i="1"/>
  <c r="K72" i="1"/>
  <c r="M72" i="1" s="1"/>
  <c r="D66" i="1"/>
  <c r="G102" i="1"/>
  <c r="H25" i="1"/>
  <c r="D24" i="1"/>
  <c r="G99" i="1"/>
  <c r="C81" i="1"/>
  <c r="E39" i="1"/>
  <c r="D30" i="1"/>
  <c r="K92" i="1"/>
  <c r="M92" i="1" s="1"/>
  <c r="D52" i="1"/>
  <c r="C109" i="1"/>
  <c r="K98" i="1"/>
  <c r="M98" i="1" s="1"/>
  <c r="K33" i="1"/>
  <c r="M33" i="1" s="1"/>
  <c r="H108" i="1"/>
  <c r="D75" i="1"/>
  <c r="E25" i="1"/>
  <c r="D58" i="1"/>
  <c r="D44" i="1"/>
  <c r="F90" i="1"/>
  <c r="G56" i="1"/>
  <c r="E73" i="1"/>
  <c r="C114" i="1"/>
  <c r="C55" i="1"/>
  <c r="C97" i="1"/>
  <c r="B105" i="1"/>
  <c r="C75" i="1"/>
  <c r="B22" i="1"/>
  <c r="D19" i="1"/>
  <c r="D113" i="1"/>
  <c r="K34" i="1"/>
  <c r="M34" i="1" s="1"/>
  <c r="K51" i="1"/>
  <c r="M51" i="1" s="1"/>
  <c r="E75" i="1"/>
  <c r="D115" i="1"/>
  <c r="F91" i="1"/>
  <c r="D16" i="1"/>
  <c r="G47" i="1"/>
  <c r="F33" i="1"/>
  <c r="F104" i="1"/>
  <c r="F70" i="1"/>
  <c r="G19" i="1"/>
  <c r="D37" i="1"/>
  <c r="E116" i="1"/>
  <c r="K99" i="1"/>
  <c r="M99" i="1" s="1"/>
  <c r="C35" i="1"/>
  <c r="H28" i="1"/>
  <c r="C54" i="1"/>
  <c r="K74" i="1"/>
  <c r="M74" i="1" s="1"/>
  <c r="G45" i="1"/>
  <c r="B70" i="1"/>
  <c r="H60" i="1"/>
  <c r="G86" i="1"/>
  <c r="B65" i="1"/>
  <c r="D97" i="1"/>
  <c r="H117" i="1"/>
  <c r="B107" i="1"/>
  <c r="B71" i="1"/>
  <c r="E58" i="1"/>
  <c r="D34" i="1"/>
  <c r="B28" i="1"/>
  <c r="H118" i="1"/>
  <c r="K67" i="1"/>
  <c r="M67" i="1" s="1"/>
  <c r="G53" i="1"/>
  <c r="B79" i="1"/>
  <c r="F29" i="1"/>
  <c r="H75" i="1"/>
  <c r="G83" i="1"/>
  <c r="H26" i="1"/>
  <c r="E104" i="1"/>
  <c r="G82" i="1"/>
  <c r="C76" i="1"/>
  <c r="C118" i="1"/>
  <c r="B113" i="1"/>
  <c r="H109" i="1"/>
  <c r="C53" i="1"/>
  <c r="C104" i="1"/>
  <c r="K116" i="1"/>
  <c r="M116" i="1" s="1"/>
  <c r="G40" i="1"/>
  <c r="B81" i="1"/>
  <c r="E83" i="1"/>
  <c r="G96" i="1"/>
  <c r="B112" i="1"/>
  <c r="H116" i="1"/>
  <c r="F45" i="1"/>
  <c r="B48" i="1"/>
  <c r="D103" i="1"/>
  <c r="D51" i="1"/>
  <c r="C40" i="1"/>
  <c r="F111" i="1"/>
  <c r="G36" i="1"/>
  <c r="H19" i="1"/>
  <c r="B102" i="1"/>
  <c r="K43" i="1"/>
  <c r="M43" i="1" s="1"/>
  <c r="H74" i="1"/>
  <c r="D71" i="1"/>
  <c r="C58" i="1"/>
  <c r="C83" i="1"/>
  <c r="F100" i="1"/>
  <c r="H99" i="1"/>
  <c r="H106" i="1"/>
  <c r="F55" i="1"/>
  <c r="H84" i="1"/>
  <c r="D104" i="1"/>
  <c r="H90" i="1"/>
  <c r="F103" i="1"/>
  <c r="E94" i="1"/>
  <c r="F37" i="1"/>
  <c r="K20" i="1"/>
  <c r="M20" i="1" s="1"/>
  <c r="G64" i="1"/>
  <c r="C63" i="1"/>
  <c r="E66" i="1"/>
  <c r="H29" i="1"/>
  <c r="K55" i="1"/>
  <c r="M55" i="1" s="1"/>
  <c r="C44" i="1"/>
  <c r="D112" i="1"/>
  <c r="K47" i="1"/>
  <c r="M47" i="1" s="1"/>
  <c r="H57" i="1"/>
  <c r="C71" i="1"/>
  <c r="D36" i="1"/>
  <c r="G95" i="1"/>
  <c r="B75" i="1"/>
  <c r="C112" i="1"/>
  <c r="C105" i="1"/>
  <c r="D118" i="1"/>
  <c r="H65" i="1"/>
  <c r="H36" i="1"/>
  <c r="D21" i="1"/>
  <c r="F52" i="1"/>
  <c r="G20" i="1"/>
  <c r="F95" i="1"/>
  <c r="D83" i="1"/>
  <c r="G105" i="1"/>
  <c r="E47" i="1"/>
  <c r="C106" i="1"/>
  <c r="F56" i="1"/>
  <c r="E60" i="1"/>
  <c r="H44" i="1"/>
  <c r="H88" i="1"/>
  <c r="F50" i="1"/>
  <c r="H49" i="1"/>
  <c r="G94" i="1"/>
  <c r="C29" i="1"/>
  <c r="K114" i="1"/>
  <c r="M114" i="1" s="1"/>
  <c r="E48" i="1"/>
  <c r="E54" i="1"/>
  <c r="E19" i="1"/>
  <c r="H46" i="1"/>
  <c r="G48" i="1"/>
  <c r="B29" i="1"/>
  <c r="K16" i="1"/>
  <c r="E95" i="1"/>
  <c r="B101" i="1"/>
  <c r="C67" i="1"/>
  <c r="H64" i="1"/>
  <c r="F59" i="1"/>
  <c r="K71" i="1"/>
  <c r="M71" i="1" s="1"/>
  <c r="D74" i="1"/>
  <c r="D43" i="1"/>
  <c r="B99" i="1"/>
  <c r="D39" i="1"/>
  <c r="G80" i="1"/>
  <c r="E92" i="1"/>
  <c r="K26" i="1"/>
  <c r="M26" i="1" s="1"/>
  <c r="B78" i="1"/>
  <c r="E114" i="1"/>
  <c r="C91" i="1"/>
  <c r="G115" i="1"/>
  <c r="C25" i="1"/>
  <c r="G98" i="1"/>
  <c r="C92" i="1"/>
  <c r="D48" i="1"/>
  <c r="F113" i="1"/>
  <c r="C102" i="1"/>
  <c r="H32" i="1"/>
  <c r="B46" i="1"/>
  <c r="D96" i="1"/>
  <c r="D28" i="1"/>
  <c r="C24" i="1"/>
  <c r="E51" i="1"/>
  <c r="D67" i="1"/>
  <c r="H104" i="1"/>
  <c r="B41" i="1"/>
  <c r="K73" i="1"/>
  <c r="M73" i="1" s="1"/>
  <c r="B110" i="1"/>
  <c r="E90" i="1"/>
  <c r="E41" i="1"/>
  <c r="E56" i="1"/>
  <c r="C43" i="1"/>
  <c r="B47" i="1"/>
  <c r="D101" i="1"/>
  <c r="H55" i="1"/>
  <c r="G76" i="1"/>
  <c r="E76" i="1"/>
  <c r="F42" i="1"/>
  <c r="K30" i="1"/>
  <c r="M30" i="1" s="1"/>
  <c r="B97" i="1"/>
  <c r="B58" i="1"/>
  <c r="E100" i="1"/>
  <c r="F62" i="1"/>
  <c r="K90" i="1"/>
  <c r="M90" i="1" s="1"/>
  <c r="H21" i="1"/>
  <c r="G93" i="1"/>
  <c r="H53" i="1"/>
  <c r="C100" i="1"/>
  <c r="H71" i="1"/>
  <c r="F23" i="1"/>
  <c r="E28" i="1"/>
  <c r="F64" i="1"/>
  <c r="K113" i="1"/>
  <c r="M113" i="1" s="1"/>
  <c r="K46" i="1"/>
  <c r="M46" i="1" s="1"/>
  <c r="C61" i="1"/>
  <c r="D61" i="1"/>
  <c r="F57" i="1"/>
  <c r="C117" i="1"/>
  <c r="D72" i="1"/>
  <c r="C49" i="1"/>
  <c r="B117" i="1"/>
  <c r="B66" i="1"/>
  <c r="G34" i="1"/>
  <c r="K54" i="1"/>
  <c r="M54" i="1" s="1"/>
  <c r="K57" i="1"/>
  <c r="M57" i="1" s="1"/>
  <c r="D109" i="1"/>
  <c r="C65" i="1"/>
  <c r="D27" i="1"/>
  <c r="F76" i="1"/>
  <c r="F21" i="1"/>
  <c r="G91" i="1"/>
  <c r="H59" i="1"/>
  <c r="D42" i="1"/>
  <c r="B87" i="1"/>
  <c r="F36" i="1"/>
  <c r="B55" i="1"/>
  <c r="E71" i="1"/>
  <c r="H23" i="1"/>
  <c r="C74" i="1"/>
  <c r="K80" i="1"/>
  <c r="M80" i="1" s="1"/>
  <c r="G106" i="1"/>
  <c r="E98" i="1"/>
  <c r="B68" i="1"/>
  <c r="B85" i="1"/>
  <c r="E22" i="1"/>
  <c r="H66" i="1"/>
  <c r="D23" i="1"/>
  <c r="E108" i="1"/>
  <c r="G52" i="1"/>
  <c r="K41" i="1"/>
  <c r="M41" i="1" s="1"/>
  <c r="C66" i="1"/>
  <c r="F48" i="1"/>
  <c r="F115" i="1"/>
  <c r="F118" i="1"/>
  <c r="C27" i="1"/>
  <c r="E70" i="1"/>
  <c r="K110" i="1"/>
  <c r="M110" i="1" s="1"/>
  <c r="B23" i="1"/>
  <c r="C46" i="1"/>
  <c r="F114" i="1"/>
  <c r="B77" i="1"/>
  <c r="D90" i="1"/>
  <c r="C57" i="1"/>
  <c r="G85" i="1"/>
  <c r="E77" i="1"/>
  <c r="C94" i="1"/>
  <c r="B31" i="1"/>
  <c r="D33" i="1"/>
  <c r="E82" i="1"/>
  <c r="B98" i="1"/>
  <c r="H70" i="1"/>
  <c r="D20" i="1"/>
  <c r="B64" i="1"/>
  <c r="H101" i="1"/>
  <c r="B54" i="1"/>
  <c r="F85" i="1"/>
  <c r="G75" i="1"/>
  <c r="E112" i="1"/>
  <c r="B88" i="1"/>
  <c r="B111" i="1"/>
  <c r="H76" i="1"/>
  <c r="C50" i="1"/>
  <c r="F60" i="1"/>
  <c r="D102" i="1"/>
  <c r="E88" i="1"/>
  <c r="E93" i="1"/>
  <c r="G57" i="1"/>
  <c r="F93" i="1"/>
  <c r="K44" i="1"/>
  <c r="M44" i="1" s="1"/>
  <c r="G87" i="1"/>
  <c r="K64" i="1"/>
  <c r="M64" i="1" s="1"/>
  <c r="B114" i="1"/>
  <c r="K78" i="1"/>
  <c r="M78" i="1" s="1"/>
  <c r="F82" i="1"/>
  <c r="D93" i="1"/>
  <c r="D95" i="1"/>
  <c r="C21" i="1"/>
  <c r="H67" i="1"/>
  <c r="E40" i="1"/>
  <c r="E81" i="1"/>
  <c r="C26" i="1"/>
  <c r="D89" i="1"/>
  <c r="G107" i="1"/>
  <c r="F26" i="1"/>
  <c r="H56" i="1"/>
  <c r="G71" i="1"/>
  <c r="G112" i="1"/>
  <c r="H43" i="1"/>
  <c r="D63" i="1"/>
  <c r="E42" i="1"/>
  <c r="G39" i="1"/>
  <c r="K36" i="1"/>
  <c r="M36" i="1" s="1"/>
  <c r="F112" i="1"/>
  <c r="G72" i="1"/>
  <c r="B96" i="1"/>
  <c r="D55" i="1"/>
  <c r="K31" i="1"/>
  <c r="M31" i="1" s="1"/>
  <c r="G60" i="1"/>
  <c r="F97" i="1"/>
  <c r="B86" i="1"/>
  <c r="E36" i="1"/>
  <c r="D76" i="1"/>
  <c r="F88" i="1"/>
  <c r="E111" i="1"/>
  <c r="F110" i="1"/>
  <c r="E101" i="1"/>
  <c r="G22" i="1"/>
  <c r="E49" i="1"/>
  <c r="K38" i="1"/>
  <c r="M38" i="1" s="1"/>
  <c r="D107" i="1"/>
  <c r="C103" i="1"/>
  <c r="K61" i="1"/>
  <c r="M61" i="1" s="1"/>
  <c r="H92" i="1"/>
  <c r="D114" i="1"/>
  <c r="K86" i="1"/>
  <c r="M86" i="1" s="1"/>
  <c r="F69" i="1"/>
  <c r="D60" i="1"/>
  <c r="K53" i="1"/>
  <c r="M53" i="1" s="1"/>
  <c r="E64" i="1"/>
  <c r="C19" i="1"/>
  <c r="B116" i="1"/>
  <c r="C68" i="1"/>
  <c r="H16" i="1"/>
  <c r="G90" i="1"/>
  <c r="E35" i="1"/>
  <c r="E31" i="1"/>
  <c r="D56" i="1"/>
  <c r="H40" i="1"/>
  <c r="H27" i="1"/>
  <c r="D111" i="1"/>
  <c r="C33" i="1"/>
  <c r="G43" i="1"/>
  <c r="K105" i="1"/>
  <c r="M105" i="1" s="1"/>
  <c r="B104" i="1"/>
  <c r="H34" i="1"/>
  <c r="K102" i="1"/>
  <c r="M102" i="1" s="1"/>
  <c r="K76" i="1"/>
  <c r="M76" i="1" s="1"/>
  <c r="B50" i="1"/>
  <c r="E79" i="1"/>
  <c r="K68" i="1"/>
  <c r="M68" i="1" s="1"/>
  <c r="K39" i="1"/>
  <c r="M39" i="1" s="1"/>
  <c r="C60" i="1"/>
  <c r="D25" i="1"/>
  <c r="K50" i="1"/>
  <c r="M50" i="1" s="1"/>
  <c r="C41" i="1"/>
  <c r="D84" i="1"/>
  <c r="G62" i="1"/>
  <c r="D70" i="1"/>
  <c r="C72" i="1"/>
  <c r="H97" i="1"/>
  <c r="D22" i="1"/>
  <c r="E117" i="1"/>
  <c r="D110" i="1"/>
  <c r="E24" i="1"/>
  <c r="H31" i="1"/>
  <c r="D65" i="1"/>
  <c r="E45" i="1"/>
  <c r="H39" i="1"/>
  <c r="K95" i="1"/>
  <c r="M95" i="1" s="1"/>
  <c r="D29" i="1"/>
  <c r="G38" i="1"/>
  <c r="H45" i="1"/>
  <c r="K85" i="1"/>
  <c r="M85" i="1" s="1"/>
  <c r="K84" i="1"/>
  <c r="M84" i="1" s="1"/>
  <c r="C20" i="1"/>
  <c r="F81" i="1"/>
  <c r="C98" i="1"/>
  <c r="B59" i="1"/>
  <c r="E50" i="1"/>
  <c r="K59" i="1"/>
  <c r="M59" i="1" s="1"/>
  <c r="D73" i="1"/>
  <c r="K75" i="1"/>
  <c r="M75" i="1" s="1"/>
  <c r="H105" i="1"/>
  <c r="G110" i="1"/>
  <c r="D47" i="1"/>
  <c r="D91" i="1"/>
  <c r="B69" i="1"/>
  <c r="F35" i="1"/>
  <c r="G104" i="1"/>
  <c r="K69" i="1"/>
  <c r="M69" i="1" s="1"/>
  <c r="H22" i="1"/>
  <c r="C77" i="1"/>
  <c r="C80" i="1"/>
  <c r="H54" i="1"/>
  <c r="D82" i="1"/>
  <c r="E85" i="1"/>
  <c r="B51" i="1"/>
  <c r="C62" i="1"/>
  <c r="H100" i="1"/>
  <c r="G92" i="1"/>
  <c r="K32" i="1"/>
  <c r="M32" i="1" s="1"/>
  <c r="E89" i="1"/>
  <c r="F72" i="1"/>
  <c r="K108" i="1"/>
  <c r="M108" i="1" s="1"/>
  <c r="E33" i="1"/>
  <c r="B76" i="1"/>
  <c r="H111" i="1"/>
  <c r="K93" i="1"/>
  <c r="M93" i="1" s="1"/>
  <c r="G46" i="1"/>
  <c r="C101" i="1"/>
  <c r="C34" i="1"/>
  <c r="B60" i="1"/>
  <c r="G88" i="1"/>
  <c r="B21" i="1"/>
  <c r="C84" i="1"/>
  <c r="K42" i="1"/>
  <c r="M42" i="1" s="1"/>
  <c r="D99" i="1"/>
  <c r="E21" i="1"/>
  <c r="H95" i="1"/>
  <c r="E106" i="1"/>
  <c r="D64" i="1"/>
  <c r="G108" i="1"/>
  <c r="H112" i="1"/>
  <c r="H41" i="1"/>
  <c r="G70" i="1"/>
  <c r="H58" i="1"/>
  <c r="C39" i="1"/>
  <c r="G32" i="1"/>
  <c r="D54" i="1"/>
  <c r="F49" i="1"/>
  <c r="B42" i="1"/>
  <c r="B45" i="1"/>
  <c r="F96" i="1"/>
  <c r="G89" i="1"/>
  <c r="F19" i="1"/>
  <c r="C70" i="1"/>
  <c r="C52" i="1"/>
  <c r="D100" i="1"/>
  <c r="E65" i="1"/>
  <c r="D87" i="1"/>
  <c r="E61" i="1"/>
  <c r="G28" i="1"/>
  <c r="D49" i="1"/>
  <c r="G29" i="1"/>
  <c r="G42" i="1"/>
  <c r="B32" i="1"/>
  <c r="E84" i="1"/>
  <c r="C85" i="1"/>
  <c r="C116" i="1"/>
  <c r="E44" i="1"/>
  <c r="G114" i="1"/>
  <c r="G59" i="1"/>
  <c r="F86" i="1"/>
  <c r="B43" i="1"/>
  <c r="G54" i="1"/>
  <c r="K82" i="1"/>
  <c r="M82" i="1" s="1"/>
  <c r="H115" i="1"/>
  <c r="K79" i="1"/>
  <c r="M79" i="1" s="1"/>
  <c r="F84" i="1"/>
  <c r="K87" i="1"/>
  <c r="M87" i="1" s="1"/>
  <c r="F34" i="1"/>
  <c r="G73" i="1"/>
  <c r="D85" i="1"/>
  <c r="D80" i="1"/>
  <c r="G26" i="1"/>
  <c r="H37" i="1"/>
  <c r="K88" i="1"/>
  <c r="M88" i="1" s="1"/>
  <c r="G118" i="1"/>
  <c r="D40" i="1"/>
  <c r="E78" i="1"/>
  <c r="C48" i="1"/>
  <c r="K96" i="1"/>
  <c r="M96" i="1" s="1"/>
  <c r="K118" i="1"/>
  <c r="M118" i="1" s="1"/>
  <c r="G58" i="1"/>
  <c r="H91" i="1"/>
  <c r="H50" i="1"/>
  <c r="B100" i="1"/>
  <c r="F54" i="1"/>
  <c r="D94" i="1"/>
  <c r="F27" i="1"/>
  <c r="B62" i="1"/>
  <c r="B19" i="1"/>
  <c r="B52" i="1"/>
  <c r="F67" i="1"/>
  <c r="D41" i="1"/>
  <c r="C79" i="1"/>
  <c r="B115" i="1"/>
  <c r="K65" i="1"/>
  <c r="M65" i="1" s="1"/>
  <c r="K111" i="1"/>
  <c r="M111" i="1" s="1"/>
  <c r="B34" i="1"/>
  <c r="G113" i="1"/>
  <c r="C86" i="1"/>
  <c r="H98" i="1"/>
  <c r="K106" i="1"/>
  <c r="M106" i="1" s="1"/>
  <c r="K58" i="1"/>
  <c r="M58" i="1" s="1"/>
  <c r="F109" i="1"/>
  <c r="F78" i="1"/>
  <c r="E68" i="1"/>
  <c r="C69" i="1"/>
  <c r="G69" i="1"/>
  <c r="E118" i="1"/>
  <c r="C28" i="1"/>
  <c r="H87" i="1"/>
  <c r="E23" i="1"/>
  <c r="K117" i="1"/>
  <c r="M117" i="1" s="1"/>
  <c r="H33" i="1"/>
  <c r="F102" i="1"/>
  <c r="B30" i="1"/>
  <c r="K28" i="1"/>
  <c r="M28" i="1" s="1"/>
  <c r="E37" i="1"/>
  <c r="D88" i="1"/>
  <c r="B72" i="1"/>
  <c r="F24" i="1"/>
  <c r="E109" i="1"/>
  <c r="G50" i="1"/>
  <c r="G103" i="1"/>
  <c r="G30" i="1"/>
  <c r="B37" i="1"/>
  <c r="E115" i="1"/>
  <c r="F79" i="1"/>
  <c r="B36" i="1"/>
  <c r="B61" i="1"/>
  <c r="F39" i="1"/>
  <c r="C111" i="1"/>
  <c r="E72" i="1"/>
  <c r="C47" i="1"/>
  <c r="E69" i="1"/>
  <c r="B67" i="1"/>
  <c r="K115" i="1"/>
  <c r="M115" i="1" s="1"/>
  <c r="E67" i="1"/>
  <c r="B44" i="1"/>
  <c r="G27" i="1"/>
  <c r="H86" i="1"/>
  <c r="B84" i="1"/>
  <c r="K45" i="1"/>
  <c r="M45" i="1" s="1"/>
  <c r="D117" i="1"/>
  <c r="G77" i="1"/>
  <c r="E29" i="1"/>
  <c r="E87" i="1"/>
  <c r="K19" i="1"/>
  <c r="M19" i="1" s="1"/>
  <c r="E110" i="1"/>
  <c r="H93" i="1"/>
  <c r="E34" i="1"/>
  <c r="B73" i="1"/>
  <c r="H38" i="1"/>
  <c r="H24" i="1"/>
  <c r="F101" i="1"/>
  <c r="G79" i="1"/>
  <c r="D98" i="1"/>
  <c r="B20" i="1"/>
  <c r="F116" i="1"/>
  <c r="F74" i="1"/>
  <c r="B39" i="1"/>
  <c r="D86" i="1"/>
  <c r="K21" i="1"/>
  <c r="M21" i="1" s="1"/>
  <c r="G67" i="1"/>
  <c r="G61" i="1"/>
  <c r="K89" i="1"/>
  <c r="M89" i="1" s="1"/>
  <c r="C36" i="1"/>
  <c r="F53" i="1"/>
  <c r="D32" i="1"/>
  <c r="C37" i="1"/>
  <c r="G25" i="1"/>
  <c r="H94" i="1"/>
  <c r="F20" i="1"/>
  <c r="H85" i="1"/>
  <c r="F41" i="1"/>
  <c r="C64" i="1"/>
  <c r="E20" i="1"/>
  <c r="G49" i="1"/>
  <c r="H79" i="1"/>
  <c r="G84" i="1"/>
  <c r="F32" i="1"/>
  <c r="E103" i="1"/>
  <c r="K29" i="1"/>
  <c r="M29" i="1" s="1"/>
  <c r="B91" i="1"/>
  <c r="F106" i="1"/>
  <c r="H30" i="1"/>
  <c r="K109" i="1"/>
  <c r="M109" i="1" s="1"/>
  <c r="H62" i="1"/>
  <c r="H96" i="1"/>
  <c r="B24" i="1"/>
  <c r="K100" i="1"/>
  <c r="M100" i="1" s="1"/>
  <c r="B106" i="1"/>
  <c r="H114" i="1"/>
  <c r="F83" i="1"/>
  <c r="C88" i="1"/>
  <c r="E59" i="1"/>
  <c r="K24" i="1"/>
  <c r="M24" i="1" s="1"/>
  <c r="H51" i="1"/>
  <c r="F75" i="1"/>
  <c r="C107" i="1"/>
  <c r="C45" i="1"/>
  <c r="K27" i="1"/>
  <c r="M27" i="1" s="1"/>
  <c r="E86" i="1"/>
  <c r="F107" i="1"/>
  <c r="E80" i="1"/>
  <c r="E91" i="1"/>
  <c r="D108" i="1"/>
  <c r="K77" i="1"/>
  <c r="M77" i="1" s="1"/>
  <c r="F65" i="1"/>
  <c r="F31" i="1"/>
  <c r="F92" i="1"/>
  <c r="H68" i="1"/>
  <c r="K62" i="1"/>
  <c r="M62" i="1" s="1"/>
  <c r="B94" i="1"/>
  <c r="K37" i="1"/>
  <c r="M37" i="1" s="1"/>
  <c r="D10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<sst xmlns="http://schemas.openxmlformats.org/spreadsheetml/2006/main" count="36" uniqueCount="35">
  <si>
    <t>Values</t>
  </si>
  <si>
    <t>Interest (year)</t>
  </si>
  <si>
    <t>is</t>
  </si>
  <si>
    <t>Total Time</t>
  </si>
  <si>
    <t>N</t>
  </si>
  <si>
    <t>Gradient (%)</t>
  </si>
  <si>
    <t>g</t>
  </si>
  <si>
    <t>Gradient ($)</t>
  </si>
  <si>
    <t>Discrete Cash Flow Values</t>
  </si>
  <si>
    <t>(F/P, I, N)</t>
  </si>
  <si>
    <t>Compound Amount Factor</t>
  </si>
  <si>
    <t>(P/F, I, N)</t>
  </si>
  <si>
    <t>(A/F, I N)</t>
  </si>
  <si>
    <t>(F/A, I, N)</t>
  </si>
  <si>
    <t>N Value</t>
  </si>
  <si>
    <t>(A/P, I, N)</t>
  </si>
  <si>
    <t>(P/A, I, N)</t>
  </si>
  <si>
    <t>(A/G, I, N)</t>
  </si>
  <si>
    <t>Present Worth Factor</t>
  </si>
  <si>
    <t>Sinking Fund Factor</t>
  </si>
  <si>
    <t>Uniform Series Factor</t>
  </si>
  <si>
    <t>Capital Recovery Factor</t>
  </si>
  <si>
    <t>Series Present Worth Factor</t>
  </si>
  <si>
    <t>Arithmetic Gradient Series Factor</t>
  </si>
  <si>
    <t>(P/A, g, I, n)</t>
  </si>
  <si>
    <t>Geometric Gradient Series Factor</t>
  </si>
  <si>
    <t>I^o</t>
  </si>
  <si>
    <t>i^o</t>
  </si>
  <si>
    <t>(P/A,i^o,n)</t>
  </si>
  <si>
    <t>(P/A,i^o,n) / (1+g)</t>
  </si>
  <si>
    <t>Geometric Gradient Series Factor (Upper Term)</t>
  </si>
  <si>
    <t>Geometric Gradient Series Factor (Lower Term)</t>
  </si>
  <si>
    <t>Geometric Gradient Series Factor (Division)</t>
  </si>
  <si>
    <t>(1+g)</t>
  </si>
  <si>
    <t>Modify these values to make something cool happen                                   &lt;----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</si>
</sst>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18"/>
  <sheetViews>
    <sheetView tabSelected="1" zoomScale="97" zoomScaleNormal="160" workbookViewId="0">
      <selection activeCell="D9" sqref="D9"/>
    </sheetView>
  </sheetViews>
  <sheetFormatPr defaultRowHeight="14.4" x14ac:dyDescent="0.3"/>
  <cols>
    <col min="1" max="1" width="13.33203125" customWidth="1"/>
    <col min="2" max="8" width="11.88671875" customWidth="1"/>
    <col min="10" max="13" width="11.88671875" customWidth="1"/>
  </cols>
  <sheetData>
    <row r="1" spans="1:13" x14ac:dyDescent="0.3">
      <c r="A1" s="7" t="s">
        <v>0</v>
      </c>
      <c r="B1" s="7"/>
      <c r="C1" s="7"/>
      <c r="D1" s="9" t="s">
        <v>34</v>
      </c>
      <c r="E1" s="9"/>
    </row>
    <row r="2" spans="1:13" x14ac:dyDescent="0.3">
      <c r="A2" s="7"/>
      <c r="B2" s="7"/>
      <c r="C2" s="7"/>
      <c r="D2" s="9"/>
      <c r="E2" s="9"/>
    </row>
    <row r="3" spans="1:13" x14ac:dyDescent="0.3">
      <c r="A3" t="s">
        <v>1</v>
      </c>
      <c r="B3" t="s">
        <v>2</v>
      </c>
      <c r="C3">
        <v>0.08</v>
      </c>
      <c r="D3" s="9"/>
      <c r="E3" s="9"/>
    </row>
    <row r="4" spans="1:13" x14ac:dyDescent="0.3">
      <c r="A4" t="s">
        <v>3</v>
      </c>
      <c r="B4" t="s">
        <v>4</v>
      </c>
      <c r="C4">
        <v>1</v>
      </c>
      <c r="D4" s="9"/>
      <c r="E4" s="9"/>
      <c r="H4" cm="1">
        <f t="array" ref="H4">AGivenP(0.1,10)</f>
        <v>0.16274539488251152</v>
      </c>
    </row>
    <row r="5" spans="1:13" x14ac:dyDescent="0.3">
      <c r="A5" t="s">
        <v>5</v>
      </c>
      <c r="B5" t="s">
        <v>6</v>
      </c>
      <c r="C5" s="3">
        <v>0.4</v>
      </c>
      <c r="D5" s="9"/>
      <c r="E5" s="9"/>
    </row>
    <row r="6" spans="1:13" x14ac:dyDescent="0.3">
      <c r="A6" t="s">
        <v>7</v>
      </c>
      <c r="B6" t="s">
        <v>6</v>
      </c>
      <c r="C6">
        <v>400</v>
      </c>
      <c r="D6" s="9"/>
      <c r="E6" s="9"/>
    </row>
    <row r="7" spans="1:13" x14ac:dyDescent="0.3">
      <c r="D7" s="9"/>
      <c r="E7" s="9"/>
    </row>
    <row r="8" spans="1:13" x14ac:dyDescent="0.3">
      <c r="A8" t="s">
        <v>26</v>
      </c>
      <c r="B8" t="s">
        <v>27</v>
      </c>
      <c r="C8">
        <f>((1+C$3)/(1+C$5))-1</f>
        <v>-0.22857142857142843</v>
      </c>
      <c r="D8" s="9"/>
      <c r="E8" s="9"/>
    </row>
    <row r="11" spans="1:13" x14ac:dyDescent="0.3">
      <c r="A11" s="7" t="s">
        <v>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57.6" x14ac:dyDescent="0.3">
      <c r="A14" s="2"/>
      <c r="B14" s="2" t="s">
        <v>10</v>
      </c>
      <c r="C14" s="2" t="s">
        <v>18</v>
      </c>
      <c r="D14" s="2" t="s">
        <v>19</v>
      </c>
      <c r="E14" s="2" t="s">
        <v>20</v>
      </c>
      <c r="F14" s="2" t="s">
        <v>21</v>
      </c>
      <c r="G14" s="2" t="s">
        <v>22</v>
      </c>
      <c r="H14" s="2" t="s">
        <v>23</v>
      </c>
      <c r="J14" s="2" t="s">
        <v>25</v>
      </c>
      <c r="K14" s="2" t="s">
        <v>30</v>
      </c>
      <c r="L14" s="2" t="s">
        <v>31</v>
      </c>
      <c r="M14" s="2" t="s">
        <v>32</v>
      </c>
    </row>
    <row r="15" spans="1:13" ht="28.8" x14ac:dyDescent="0.3">
      <c r="A15" s="1" t="s">
        <v>14</v>
      </c>
      <c r="B15" s="1" t="s">
        <v>9</v>
      </c>
      <c r="C15" s="1" t="s">
        <v>11</v>
      </c>
      <c r="D15" s="1" t="s">
        <v>12</v>
      </c>
      <c r="E15" s="1" t="s">
        <v>13</v>
      </c>
      <c r="F15" s="1" t="s">
        <v>15</v>
      </c>
      <c r="G15" s="1" t="s">
        <v>16</v>
      </c>
      <c r="H15" s="1" t="s">
        <v>17</v>
      </c>
      <c r="J15" s="1" t="s">
        <v>24</v>
      </c>
      <c r="K15" s="1" t="s">
        <v>28</v>
      </c>
      <c r="L15" s="1" t="s">
        <v>33</v>
      </c>
      <c r="M15" s="2" t="s">
        <v>29</v>
      </c>
    </row>
    <row r="16" spans="1:13" x14ac:dyDescent="0.3">
      <c r="A16" s="7">
        <f>C4</f>
        <v>1</v>
      </c>
      <c r="B16" s="8" cm="1">
        <f t="array" ref="B16">FGivenP($C$3,$A16)</f>
        <v>1.08</v>
      </c>
      <c r="C16" s="8" cm="1">
        <f t="array" ref="C16">PGivenF($C$3,$A$16)</f>
        <v>0.92592592592592582</v>
      </c>
      <c r="D16" s="8" cm="1">
        <f t="array" ref="D16">AGivenF($C$3,$A$16)</f>
        <v>0.99999999999999911</v>
      </c>
      <c r="E16" s="8" cm="1">
        <f t="array" ref="E16">FGivenA($C$3,$A$16)</f>
        <v>1.0000000000000009</v>
      </c>
      <c r="F16" s="8" cm="1">
        <f t="array" ref="F16">AGivenP($C$3,$A$16)</f>
        <v>1.0799999999999992</v>
      </c>
      <c r="G16" s="8" cm="1">
        <f t="array" ref="G16">PGivenA($C$3,$A$16)</f>
        <v>0.92592592592592671</v>
      </c>
      <c r="H16" s="8" cm="1">
        <f t="array" ref="H16">AGivenG($C$3,$A$16)</f>
        <v>1.0842021724855044E-14</v>
      </c>
      <c r="I16" s="8"/>
      <c r="J16" s="8" cm="1">
        <f t="array" ref="J16">GeoGradienT(C$3, $A16,C$5)</f>
        <v>0.92592592592592626</v>
      </c>
      <c r="K16" s="8" cm="1">
        <f t="array" ref="K16">PGivenA($C$8,$A$16)</f>
        <v>1.2962962962962961</v>
      </c>
      <c r="L16" s="8">
        <f>(1+C$5)</f>
        <v>1.4</v>
      </c>
      <c r="M16" s="8" cm="1">
        <f t="array" ref="M16">PGivenA($C$8,$A$16)/L16</f>
        <v>0.92592592592592582</v>
      </c>
    </row>
    <row r="17" spans="1:13" x14ac:dyDescent="0.3">
      <c r="A17" s="7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</row>
    <row r="18" spans="1:13" x14ac:dyDescent="0.3">
      <c r="J18" s="5"/>
      <c r="K18" s="5"/>
    </row>
    <row r="19" spans="1:13" x14ac:dyDescent="0.3">
      <c r="A19" s="1">
        <v>1</v>
      </c>
      <c r="B19" s="6" cm="1">
        <f t="array" ref="B19">FGivenP($C$3,$A19)</f>
        <v>1.08</v>
      </c>
      <c r="C19" s="6" cm="1">
        <f t="array" ref="C19">PGivenF($C$3,$A19)</f>
        <v>0.92592592592592582</v>
      </c>
      <c r="D19" s="6" cm="1">
        <f t="array" ref="D19">AGivenF($C$3,$A19)</f>
        <v>0.99999999999999911</v>
      </c>
      <c r="E19" s="6" cm="1">
        <f t="array" ref="E19">FGivenA($C$3,$A19)</f>
        <v>1.0000000000000009</v>
      </c>
      <c r="F19" s="6" cm="1">
        <f t="array" ref="F19">AGivenP($C$3,$A19)</f>
        <v>1.0799999999999992</v>
      </c>
      <c r="G19" s="6" cm="1">
        <f t="array" ref="G19">PGivenA($C$3,$A19)</f>
        <v>0.92592592592592671</v>
      </c>
      <c r="H19" s="6" cm="1">
        <f t="array" ref="H19">AGivenG($C$3,$A19)</f>
        <v>1.0842021724855044E-14</v>
      </c>
      <c r="J19" s="6" cm="1">
        <f t="array" ref="J19">GeoGradienT(C$3, $A19,C$5)</f>
        <v>0.92592592592592626</v>
      </c>
      <c r="K19" s="6" cm="1">
        <f t="array" ref="K19">PGivenA($C$8,$A19)</f>
        <v>1.2962962962962961</v>
      </c>
      <c r="L19" s="3">
        <f>(1+C$5)</f>
        <v>1.4</v>
      </c>
      <c r="M19" s="4">
        <f>K19/L19</f>
        <v>0.92592592592592582</v>
      </c>
    </row>
    <row r="20" spans="1:13" x14ac:dyDescent="0.3">
      <c r="A20" s="1">
        <v>2</v>
      </c>
      <c r="B20" s="6" cm="1">
        <f t="array" ref="B20">FGivenP($C$3,$A20)</f>
        <v>1.1664000000000001</v>
      </c>
      <c r="C20" s="6" cm="1">
        <f t="array" ref="C20">PGivenF($C$3,$A20)</f>
        <v>0.85733882030178321</v>
      </c>
      <c r="D20" s="6" cm="1">
        <f t="array" ref="D20">AGivenF($C$3,$A20)</f>
        <v>0.4807692307692305</v>
      </c>
      <c r="E20" s="6" cm="1">
        <f t="array" ref="E20">FGivenA($C$3,$A20)</f>
        <v>2.0800000000000014</v>
      </c>
      <c r="F20" s="6" cm="1">
        <f t="array" ref="F20">AGivenP($C$3,$A20)</f>
        <v>0.56076923076923046</v>
      </c>
      <c r="G20" s="6" cm="1">
        <f t="array" ref="G20">PGivenA($C$3,$A20)</f>
        <v>1.78326474622771</v>
      </c>
      <c r="H20" s="6" cm="1">
        <f t="array" ref="H20">AGivenG($C$3,$A20)</f>
        <v>0.480769230769238</v>
      </c>
      <c r="J20" s="6" cm="1">
        <f t="array" ref="J20">GeoGradienT(C$3, $A20,C$5)</f>
        <v>2.126200274348423</v>
      </c>
      <c r="K20" s="6" cm="1">
        <f t="array" ref="K20">PGivenA($C$8,$A20)</f>
        <v>2.9766803840877905</v>
      </c>
      <c r="L20" s="3">
        <f t="shared" ref="L20:L36" si="0">(1+C$5)</f>
        <v>1.4</v>
      </c>
      <c r="M20" s="4">
        <f t="shared" ref="M20:M36" si="1">K20/L20</f>
        <v>2.1262002743484221</v>
      </c>
    </row>
    <row r="21" spans="1:13" x14ac:dyDescent="0.3">
      <c r="A21" s="1">
        <v>3</v>
      </c>
      <c r="B21" s="6" cm="1">
        <f t="array" ref="B21">FGivenP($C$3,$A21)</f>
        <v>1.2597120000000002</v>
      </c>
      <c r="C21" s="6" cm="1">
        <f t="array" ref="C21">PGivenF($C$3,$A21)</f>
        <v>0.79383224102016958</v>
      </c>
      <c r="D21" s="6" cm="1">
        <f t="array" ref="D21">AGivenF($C$3,$A21)</f>
        <v>0.30803351404632806</v>
      </c>
      <c r="E21" s="6" cm="1">
        <f t="array" ref="E21">FGivenA($C$3,$A21)</f>
        <v>3.2464000000000022</v>
      </c>
      <c r="F21" s="6" cm="1">
        <f t="array" ref="F21">AGivenP($C$3,$A21)</f>
        <v>0.38803351404632808</v>
      </c>
      <c r="G21" s="6" cm="1">
        <f t="array" ref="G21">PGivenA($C$3,$A21)</f>
        <v>2.5770969872478799</v>
      </c>
      <c r="H21" s="6" cm="1">
        <f t="array" ref="H21">AGivenG($C$3,$A21)</f>
        <v>0.94874322326269811</v>
      </c>
      <c r="J21" s="6" cm="1">
        <f t="array" ref="J21">GeoGradienT(C$3, $A21,C$5)</f>
        <v>3.6821114667479562</v>
      </c>
      <c r="K21" s="6" cm="1">
        <f t="array" ref="K21">PGivenA($C$8,$A21)</f>
        <v>5.154956053447135</v>
      </c>
      <c r="L21" s="3">
        <f t="shared" si="0"/>
        <v>1.4</v>
      </c>
      <c r="M21" s="4">
        <f t="shared" si="1"/>
        <v>3.682111466747954</v>
      </c>
    </row>
    <row r="22" spans="1:13" x14ac:dyDescent="0.3">
      <c r="A22" s="1">
        <v>4</v>
      </c>
      <c r="B22" s="6" cm="1">
        <f t="array" ref="B22">FGivenP($C$3,$A22)</f>
        <v>1.3604889600000003</v>
      </c>
      <c r="C22" s="6" cm="1">
        <f t="array" ref="C22">PGivenF($C$3,$A22)</f>
        <v>0.73502985279645328</v>
      </c>
      <c r="D22" s="6" cm="1">
        <f t="array" ref="D22">AGivenF($C$3,$A22)</f>
        <v>0.22192080445403914</v>
      </c>
      <c r="E22" s="6" cm="1">
        <f t="array" ref="E22">FGivenA($C$3,$A22)</f>
        <v>4.5061120000000034</v>
      </c>
      <c r="F22" s="6" cm="1">
        <f t="array" ref="F22">AGivenP($C$3,$A22)</f>
        <v>0.30192080445403913</v>
      </c>
      <c r="G22" s="6" cm="1">
        <f t="array" ref="G22">PGivenA($C$3,$A22)</f>
        <v>3.3121268400443342</v>
      </c>
      <c r="H22" s="6" cm="1">
        <f t="array" ref="H22">AGivenG($C$3,$A22)</f>
        <v>1.4039597772980434</v>
      </c>
      <c r="J22" s="6" cm="1">
        <f t="array" ref="J22">GeoGradienT(C$3, $A22,C$5)</f>
        <v>5.6990333828214261</v>
      </c>
      <c r="K22" s="6" cm="1">
        <f t="array" ref="K22">PGivenA($C$8,$A22)</f>
        <v>7.9786467359499893</v>
      </c>
      <c r="L22" s="3">
        <f t="shared" si="0"/>
        <v>1.4</v>
      </c>
      <c r="M22" s="4">
        <f t="shared" si="1"/>
        <v>5.6990333828214217</v>
      </c>
    </row>
    <row r="23" spans="1:13" x14ac:dyDescent="0.3">
      <c r="A23" s="1">
        <v>5</v>
      </c>
      <c r="B23" s="6" cm="1">
        <f t="array" ref="B23">FGivenP($C$3,$A23)</f>
        <v>1.4693280768000005</v>
      </c>
      <c r="C23" s="6" cm="1">
        <f t="array" ref="C23">PGivenF($C$3,$A23)</f>
        <v>0.68058319703375292</v>
      </c>
      <c r="D23" s="6" cm="1">
        <f t="array" ref="D23">AGivenF($C$3,$A23)</f>
        <v>0.17045645456683642</v>
      </c>
      <c r="E23" s="6" cm="1">
        <f t="array" ref="E23">FGivenA($C$3,$A23)</f>
        <v>5.8666009600000066</v>
      </c>
      <c r="F23" s="6" cm="1">
        <f t="array" ref="F23">AGivenP($C$3,$A23)</f>
        <v>0.25045645456683641</v>
      </c>
      <c r="G23" s="6" cm="1">
        <f t="array" ref="G23">PGivenA($C$3,$A23)</f>
        <v>3.9927100370780884</v>
      </c>
      <c r="H23" s="6" cm="1">
        <f t="array" ref="H23">AGivenG($C$3,$A23)</f>
        <v>1.8464715895727244</v>
      </c>
      <c r="J23" s="6" cm="1">
        <f t="array" ref="J23">GeoGradienT(C$3, $A23,C$5)</f>
        <v>8.3135617925462952</v>
      </c>
      <c r="K23" s="6" cm="1">
        <f t="array" ref="K23">PGivenA($C$8,$A23)</f>
        <v>11.638986509564797</v>
      </c>
      <c r="L23" s="3">
        <f t="shared" si="0"/>
        <v>1.4</v>
      </c>
      <c r="M23" s="4">
        <f t="shared" si="1"/>
        <v>8.3135617925462846</v>
      </c>
    </row>
    <row r="24" spans="1:13" x14ac:dyDescent="0.3">
      <c r="A24" s="1">
        <v>6</v>
      </c>
      <c r="B24" s="6" cm="1">
        <f t="array" ref="B24">FGivenP($C$3,$A24)</f>
        <v>1.5868743229440005</v>
      </c>
      <c r="C24" s="6" cm="1">
        <f t="array" ref="C24">PGivenF($C$3,$A24)</f>
        <v>0.63016962688310452</v>
      </c>
      <c r="D24" s="6" cm="1">
        <f t="array" ref="D24">AGivenF($C$3,$A24)</f>
        <v>0.13631538622900968</v>
      </c>
      <c r="E24" s="6" cm="1">
        <f t="array" ref="E24">FGivenA($C$3,$A24)</f>
        <v>7.3359290368000067</v>
      </c>
      <c r="F24" s="6" cm="1">
        <f t="array" ref="F24">AGivenP($C$3,$A24)</f>
        <v>0.2163153862290097</v>
      </c>
      <c r="G24" s="6" cm="1">
        <f t="array" ref="G24">PGivenA($C$3,$A24)</f>
        <v>4.6228796639611929</v>
      </c>
      <c r="H24" s="6" cm="1">
        <f t="array" ref="H24">AGivenG($C$3,$A24)</f>
        <v>2.2763460328242728</v>
      </c>
      <c r="J24" s="6" cm="1">
        <f t="array" ref="J24">GeoGradienT(C$3, $A24,C$5)</f>
        <v>11.702765286634087</v>
      </c>
      <c r="K24" s="6" cm="1">
        <f t="array" ref="K24">PGivenA($C$8,$A24)</f>
        <v>16.383871401287696</v>
      </c>
      <c r="L24" s="3">
        <f t="shared" si="0"/>
        <v>1.4</v>
      </c>
      <c r="M24" s="4">
        <f t="shared" si="1"/>
        <v>11.702765286634069</v>
      </c>
    </row>
    <row r="25" spans="1:13" x14ac:dyDescent="0.3">
      <c r="A25" s="1">
        <v>7</v>
      </c>
      <c r="B25" s="6" cm="1">
        <f t="array" ref="B25">FGivenP($C$3,$A25)</f>
        <v>1.7138242687795209</v>
      </c>
      <c r="C25" s="6" cm="1">
        <f t="array" ref="C25">PGivenF($C$3,$A25)</f>
        <v>0.58349039526213375</v>
      </c>
      <c r="D25" s="6" cm="1">
        <f t="array" ref="D25">AGivenF($C$3,$A25)</f>
        <v>0.11207240142841042</v>
      </c>
      <c r="E25" s="6" cm="1">
        <f t="array" ref="E25">FGivenA($C$3,$A25)</f>
        <v>8.9228033597440106</v>
      </c>
      <c r="F25" s="6" cm="1">
        <f t="array" ref="F25">AGivenP($C$3,$A25)</f>
        <v>0.19207240142841042</v>
      </c>
      <c r="G25" s="6" cm="1">
        <f t="array" ref="G25">PGivenA($C$3,$A25)</f>
        <v>5.2063700592233282</v>
      </c>
      <c r="H25" s="6" cm="1">
        <f t="array" ref="H25">AGivenG($C$3,$A25)</f>
        <v>2.6936648750140879</v>
      </c>
      <c r="J25" s="6" cm="1">
        <f t="array" ref="J25">GeoGradienT(C$3, $A25,C$5)</f>
        <v>16.096177223414561</v>
      </c>
      <c r="K25" s="6" cm="1">
        <f t="array" ref="K25">PGivenA($C$8,$A25)</f>
        <v>22.534648112780346</v>
      </c>
      <c r="L25" s="3">
        <f t="shared" si="0"/>
        <v>1.4</v>
      </c>
      <c r="M25" s="4">
        <f t="shared" si="1"/>
        <v>16.096177223414532</v>
      </c>
    </row>
    <row r="26" spans="1:13" x14ac:dyDescent="0.3">
      <c r="A26" s="1">
        <v>8</v>
      </c>
      <c r="B26" s="6" cm="1">
        <f t="array" ref="B26">FGivenP($C$3,$A26)</f>
        <v>1.8509302102818825</v>
      </c>
      <c r="C26" s="6" cm="1">
        <f t="array" ref="C26">PGivenF($C$3,$A26)</f>
        <v>0.54026888450197574</v>
      </c>
      <c r="D26" s="6" cm="1">
        <f t="array" ref="D26">AGivenF($C$3,$A26)</f>
        <v>9.401476059182208E-2</v>
      </c>
      <c r="E26" s="6" cm="1">
        <f t="array" ref="E26">FGivenA($C$3,$A26)</f>
        <v>10.636627628523531</v>
      </c>
      <c r="F26" s="6" cm="1">
        <f t="array" ref="F26">AGivenP($C$3,$A26)</f>
        <v>0.17401476059182208</v>
      </c>
      <c r="G26" s="6" cm="1">
        <f t="array" ref="G26">PGivenA($C$3,$A26)</f>
        <v>5.7466389437253032</v>
      </c>
      <c r="H26" s="6" cm="1">
        <f t="array" ref="H26">AGivenG($C$3,$A26)</f>
        <v>3.0985239408177923</v>
      </c>
      <c r="J26" s="6" cm="1">
        <f t="array" ref="J26">GeoGradienT(C$3, $A26,C$5)</f>
        <v>21.791340845167028</v>
      </c>
      <c r="K26" s="6" cm="1">
        <f t="array" ref="K26">PGivenA($C$8,$A26)</f>
        <v>30.507877183233774</v>
      </c>
      <c r="L26" s="3">
        <f t="shared" si="0"/>
        <v>1.4</v>
      </c>
      <c r="M26" s="4">
        <f t="shared" si="1"/>
        <v>21.791340845166982</v>
      </c>
    </row>
    <row r="27" spans="1:13" x14ac:dyDescent="0.3">
      <c r="A27" s="1">
        <v>9</v>
      </c>
      <c r="B27" s="6" cm="1">
        <f t="array" ref="B27">FGivenP($C$3,$A27)</f>
        <v>1.9990046271044333</v>
      </c>
      <c r="C27" s="6" cm="1">
        <f t="array" ref="C27">PGivenF($C$3,$A27)</f>
        <v>0.50024896713145894</v>
      </c>
      <c r="D27" s="6" cm="1">
        <f t="array" ref="D27">AGivenF($C$3,$A27)</f>
        <v>8.0079709171994667E-2</v>
      </c>
      <c r="E27" s="6" cm="1">
        <f t="array" ref="E27">FGivenA($C$3,$A27)</f>
        <v>12.487557838805415</v>
      </c>
      <c r="F27" s="6" cm="1">
        <f t="array" ref="F27">AGivenP($C$3,$A27)</f>
        <v>0.16007970917199468</v>
      </c>
      <c r="G27" s="6" cm="1">
        <f t="array" ref="G27">PGivenA($C$3,$A27)</f>
        <v>6.2468879108567625</v>
      </c>
      <c r="H27" s="6" cm="1">
        <f t="array" ref="H27">AGivenG($C$3,$A27)</f>
        <v>3.4910327181505996</v>
      </c>
      <c r="J27" s="6" cm="1">
        <f t="array" ref="J27">GeoGradienT(C$3, $A27,C$5)</f>
        <v>29.173960354846145</v>
      </c>
      <c r="K27" s="6" cm="1">
        <f t="array" ref="K27">PGivenA($C$8,$A27)</f>
        <v>40.843544496784517</v>
      </c>
      <c r="L27" s="3">
        <f t="shared" si="0"/>
        <v>1.4</v>
      </c>
      <c r="M27" s="4">
        <f t="shared" si="1"/>
        <v>29.173960354846084</v>
      </c>
    </row>
    <row r="28" spans="1:13" x14ac:dyDescent="0.3">
      <c r="A28" s="1">
        <v>10</v>
      </c>
      <c r="B28" s="6" cm="1">
        <f t="array" ref="B28">FGivenP($C$3,$A28)</f>
        <v>2.1589249972727882</v>
      </c>
      <c r="C28" s="6" cm="1">
        <f t="array" ref="C28">PGivenF($C$3,$A28)</f>
        <v>0.46319348808468414</v>
      </c>
      <c r="D28" s="6" cm="1">
        <f t="array" ref="D28">AGivenF($C$3,$A28)</f>
        <v>6.9029488697075342E-2</v>
      </c>
      <c r="E28" s="6" cm="1">
        <f t="array" ref="E28">FGivenA($C$3,$A28)</f>
        <v>14.486562465909852</v>
      </c>
      <c r="F28" s="6" cm="1">
        <f t="array" ref="F28">AGivenP($C$3,$A28)</f>
        <v>0.14902948869707533</v>
      </c>
      <c r="G28" s="6" cm="1">
        <f t="array" ref="G28">PGivenA($C$3,$A28)</f>
        <v>6.7100813989414476</v>
      </c>
      <c r="H28" s="6" cm="1">
        <f t="array" ref="H28">AGivenG($C$3,$A28)</f>
        <v>3.8713139128655825</v>
      </c>
      <c r="J28" s="6" cm="1">
        <f t="array" ref="J28">GeoGradienT(C$3, $A28,C$5)</f>
        <v>38.744022682207969</v>
      </c>
      <c r="K28" s="6" cm="1">
        <f t="array" ref="K28">PGivenA($C$8,$A28)</f>
        <v>54.241631755091021</v>
      </c>
      <c r="L28" s="3">
        <f t="shared" si="0"/>
        <v>1.4</v>
      </c>
      <c r="M28" s="4">
        <f t="shared" si="1"/>
        <v>38.744022682207877</v>
      </c>
    </row>
    <row r="29" spans="1:13" x14ac:dyDescent="0.3">
      <c r="A29" s="1">
        <v>11</v>
      </c>
      <c r="B29" s="6" cm="1">
        <f t="array" ref="B29">FGivenP($C$3,$A29)</f>
        <v>2.3316389970546112</v>
      </c>
      <c r="C29" s="6" cm="1">
        <f t="array" ref="C29">PGivenF($C$3,$A29)</f>
        <v>0.42888285933767051</v>
      </c>
      <c r="D29" s="6" cm="1">
        <f t="array" ref="D29">AGivenF($C$3,$A29)</f>
        <v>6.007634214449125E-2</v>
      </c>
      <c r="E29" s="6" cm="1">
        <f t="array" ref="E29">FGivenA($C$3,$A29)</f>
        <v>16.64548746318264</v>
      </c>
      <c r="F29" s="6" cm="1">
        <f t="array" ref="F29">AGivenP($C$3,$A29)</f>
        <v>0.14007634214449124</v>
      </c>
      <c r="G29" s="6" cm="1">
        <f t="array" ref="G29">PGivenA($C$3,$A29)</f>
        <v>7.1389642582791186</v>
      </c>
      <c r="H29" s="6" cm="1">
        <f t="array" ref="H29">AGivenG($C$3,$A29)</f>
        <v>4.239502955132453</v>
      </c>
      <c r="J29" s="6" cm="1">
        <f t="array" ref="J29">GeoGradienT(C$3, $A29,C$5)</f>
        <v>51.149659032491812</v>
      </c>
      <c r="K29" s="6" cm="1">
        <f t="array" ref="K29">PGivenA($C$8,$A29)</f>
        <v>71.609522645488354</v>
      </c>
      <c r="L29" s="3">
        <f t="shared" si="0"/>
        <v>1.4</v>
      </c>
      <c r="M29" s="4">
        <f t="shared" si="1"/>
        <v>51.149659032491684</v>
      </c>
    </row>
    <row r="30" spans="1:13" x14ac:dyDescent="0.3">
      <c r="A30" s="1">
        <v>12</v>
      </c>
      <c r="B30" s="6" cm="1">
        <f t="array" ref="B30">FGivenP($C$3,$A30)</f>
        <v>2.5181701168189803</v>
      </c>
      <c r="C30" s="6" cm="1">
        <f t="array" ref="C30">PGivenF($C$3,$A30)</f>
        <v>0.39711375864599119</v>
      </c>
      <c r="D30" s="6" cm="1">
        <f t="array" ref="D30">AGivenF($C$3,$A30)</f>
        <v>5.2695016924469498E-2</v>
      </c>
      <c r="E30" s="6" cm="1">
        <f t="array" ref="E30">FGivenA($C$3,$A30)</f>
        <v>18.977126460237255</v>
      </c>
      <c r="F30" s="6" cm="1">
        <f t="array" ref="F30">AGivenP($C$3,$A30)</f>
        <v>0.1326950169244695</v>
      </c>
      <c r="G30" s="6" cm="1">
        <f t="array" ref="G30">PGivenA($C$3,$A30)</f>
        <v>7.53607801692511</v>
      </c>
      <c r="H30" s="6" cm="1">
        <f t="array" ref="H30">AGivenG($C$3,$A30)</f>
        <v>4.5957474613295748</v>
      </c>
      <c r="J30" s="6" cm="1">
        <f t="array" ref="J30">GeoGradienT(C$3, $A30,C$5)</f>
        <v>67.231039486563475</v>
      </c>
      <c r="K30" s="6" cm="1">
        <f t="array" ref="K30">PGivenA($C$8,$A30)</f>
        <v>94.123455281188583</v>
      </c>
      <c r="L30" s="3">
        <f t="shared" si="0"/>
        <v>1.4</v>
      </c>
      <c r="M30" s="4">
        <f t="shared" si="1"/>
        <v>67.231039486563276</v>
      </c>
    </row>
    <row r="31" spans="1:13" x14ac:dyDescent="0.3">
      <c r="A31" s="1">
        <v>13</v>
      </c>
      <c r="B31" s="6" cm="1">
        <f t="array" ref="B31">FGivenP($C$3,$A31)</f>
        <v>2.7196237261644991</v>
      </c>
      <c r="C31" s="6" cm="1">
        <f t="array" ref="C31">PGivenF($C$3,$A31)</f>
        <v>0.36769792467221402</v>
      </c>
      <c r="D31" s="6" cm="1">
        <f t="array" ref="D31">AGivenF($C$3,$A31)</f>
        <v>4.652180519655566E-2</v>
      </c>
      <c r="E31" s="6" cm="1">
        <f t="array" ref="E31">FGivenA($C$3,$A31)</f>
        <v>21.495296577056237</v>
      </c>
      <c r="F31" s="6" cm="1">
        <f t="array" ref="F31">AGivenP($C$3,$A31)</f>
        <v>0.12652180519655568</v>
      </c>
      <c r="G31" s="6" cm="1">
        <f t="array" ref="G31">PGivenA($C$3,$A31)</f>
        <v>7.903775941597325</v>
      </c>
      <c r="H31" s="6" cm="1">
        <f t="array" ref="H31">AGivenG($C$3,$A31)</f>
        <v>4.9402066555597051</v>
      </c>
      <c r="J31" s="6" cm="1">
        <f t="array" ref="J31">GeoGradienT(C$3, $A31,C$5)</f>
        <v>88.077273408508219</v>
      </c>
      <c r="K31" s="6" cm="1">
        <f t="array" ref="K31">PGivenA($C$8,$A31)</f>
        <v>123.30818277191111</v>
      </c>
      <c r="L31" s="3">
        <f t="shared" si="0"/>
        <v>1.4</v>
      </c>
      <c r="M31" s="4">
        <f t="shared" si="1"/>
        <v>88.077273408507935</v>
      </c>
    </row>
    <row r="32" spans="1:13" x14ac:dyDescent="0.3">
      <c r="A32" s="1">
        <v>14</v>
      </c>
      <c r="B32" s="6" cm="1">
        <f t="array" ref="B32">FGivenP($C$3,$A32)</f>
        <v>2.9371936242576591</v>
      </c>
      <c r="C32" s="6" cm="1">
        <f t="array" ref="C32">PGivenF($C$3,$A32)</f>
        <v>0.34046104136316113</v>
      </c>
      <c r="D32" s="6" cm="1">
        <f t="array" ref="D32">AGivenF($C$3,$A32)</f>
        <v>4.1296852827840763E-2</v>
      </c>
      <c r="E32" s="6" cm="1">
        <f t="array" ref="E32">FGivenA($C$3,$A32)</f>
        <v>24.214920303220737</v>
      </c>
      <c r="F32" s="6" cm="1">
        <f t="array" ref="F32">AGivenP($C$3,$A32)</f>
        <v>0.12129685282784076</v>
      </c>
      <c r="G32" s="6" cm="1">
        <f t="array" ref="G32">PGivenA($C$3,$A32)</f>
        <v>8.2442369829604853</v>
      </c>
      <c r="H32" s="6" cm="1">
        <f t="array" ref="H32">AGivenG($C$3,$A32)</f>
        <v>5.2730507551278665</v>
      </c>
      <c r="J32" s="6" cm="1">
        <f t="array" ref="J32">GeoGradienT(C$3, $A32,C$5)</f>
        <v>115.10016923325139</v>
      </c>
      <c r="K32" s="6" cm="1">
        <f t="array" ref="K32">PGivenA($C$8,$A32)</f>
        <v>161.14023692655141</v>
      </c>
      <c r="L32" s="3">
        <f t="shared" si="0"/>
        <v>1.4</v>
      </c>
      <c r="M32" s="4">
        <f t="shared" si="1"/>
        <v>115.10016923325101</v>
      </c>
    </row>
    <row r="33" spans="1:13" x14ac:dyDescent="0.3">
      <c r="A33" s="1">
        <v>15</v>
      </c>
      <c r="B33" s="6" cm="1">
        <f t="array" ref="B33">FGivenP($C$3,$A33)</f>
        <v>3.172169114198272</v>
      </c>
      <c r="C33" s="6" cm="1">
        <f t="array" ref="C33">PGivenF($C$3,$A33)</f>
        <v>0.31524170496588994</v>
      </c>
      <c r="D33" s="6" cm="1">
        <f t="array" ref="D33">AGivenF($C$3,$A33)</f>
        <v>3.6829544936019996E-2</v>
      </c>
      <c r="E33" s="6" cm="1">
        <f t="array" ref="E33">FGivenA($C$3,$A33)</f>
        <v>27.1521139274784</v>
      </c>
      <c r="F33" s="6" cm="1">
        <f t="array" ref="F33">AGivenP($C$3,$A33)</f>
        <v>0.11682954493601999</v>
      </c>
      <c r="G33" s="6" cm="1">
        <f t="array" ref="G33">PGivenA($C$3,$A33)</f>
        <v>8.5594786879263758</v>
      </c>
      <c r="H33" s="6" cm="1">
        <f t="array" ref="H33">AGivenG($C$3,$A33)</f>
        <v>5.594460324496251</v>
      </c>
      <c r="J33" s="6" cm="1">
        <f t="array" ref="J33">GeoGradienT(C$3, $A33,C$5)</f>
        <v>150.12984900606662</v>
      </c>
      <c r="K33" s="6" cm="1">
        <f t="array" ref="K33">PGivenA($C$8,$A33)</f>
        <v>210.18178860849252</v>
      </c>
      <c r="L33" s="3">
        <f t="shared" si="0"/>
        <v>1.4</v>
      </c>
      <c r="M33" s="4">
        <f t="shared" si="1"/>
        <v>150.12984900606611</v>
      </c>
    </row>
    <row r="34" spans="1:13" x14ac:dyDescent="0.3">
      <c r="A34" s="1">
        <v>16</v>
      </c>
      <c r="B34" s="6" cm="1">
        <f t="array" ref="B34">FGivenP($C$3,$A34)</f>
        <v>3.425942643334134</v>
      </c>
      <c r="C34" s="6" cm="1">
        <f t="array" ref="C34">PGivenF($C$3,$A34)</f>
        <v>0.29189046756100917</v>
      </c>
      <c r="D34" s="6" cm="1">
        <f t="array" ref="D34">AGivenF($C$3,$A34)</f>
        <v>3.2976871988222564E-2</v>
      </c>
      <c r="E34" s="6" cm="1">
        <f t="array" ref="E34">FGivenA($C$3,$A34)</f>
        <v>30.324283041676676</v>
      </c>
      <c r="F34" s="6" cm="1">
        <f t="array" ref="F34">AGivenP($C$3,$A34)</f>
        <v>0.11297687198822257</v>
      </c>
      <c r="G34" s="6" cm="1">
        <f t="array" ref="G34">PGivenA($C$3,$A34)</f>
        <v>8.8513691554873848</v>
      </c>
      <c r="H34" s="6" cm="1">
        <f t="array" ref="H34">AGivenG($C$3,$A34)</f>
        <v>5.9046256023554875</v>
      </c>
      <c r="J34" s="6" cm="1">
        <f t="array" ref="J34">GeoGradienT(C$3, $A34,C$5)</f>
        <v>195.53869315601236</v>
      </c>
      <c r="K34" s="6" cm="1">
        <f t="array" ref="K34">PGivenA($C$8,$A34)</f>
        <v>273.75417041841621</v>
      </c>
      <c r="L34" s="3">
        <f t="shared" si="0"/>
        <v>1.4</v>
      </c>
      <c r="M34" s="4">
        <f t="shared" si="1"/>
        <v>195.53869315601159</v>
      </c>
    </row>
    <row r="35" spans="1:13" x14ac:dyDescent="0.3">
      <c r="A35" s="1">
        <v>17</v>
      </c>
      <c r="B35" s="6" cm="1">
        <f t="array" ref="B35">FGivenP($C$3,$A35)</f>
        <v>3.7000180548008652</v>
      </c>
      <c r="C35" s="6" cm="1">
        <f t="array" ref="C35">PGivenF($C$3,$A35)</f>
        <v>0.27026895144537882</v>
      </c>
      <c r="D35" s="6" cm="1">
        <f t="array" ref="D35">AGivenF($C$3,$A35)</f>
        <v>2.9629431498709089E-2</v>
      </c>
      <c r="E35" s="6" cm="1">
        <f t="array" ref="E35">FGivenA($C$3,$A35)</f>
        <v>33.750225685010811</v>
      </c>
      <c r="F35" s="6" cm="1">
        <f t="array" ref="F35">AGivenP($C$3,$A35)</f>
        <v>0.10962943149870909</v>
      </c>
      <c r="G35" s="6" cm="1">
        <f t="array" ref="G35">PGivenA($C$3,$A35)</f>
        <v>9.1216381069327639</v>
      </c>
      <c r="H35" s="6" cm="1">
        <f t="array" ref="H35">AGivenG($C$3,$A35)</f>
        <v>6.2037458065243181</v>
      </c>
      <c r="J35" s="6" cm="1">
        <f t="array" ref="J35">GeoGradienT(C$3, $A35,C$5)</f>
        <v>254.40200964668264</v>
      </c>
      <c r="K35" s="6" cm="1">
        <f t="array" ref="K35">PGivenA($C$8,$A35)</f>
        <v>356.16281350535422</v>
      </c>
      <c r="L35" s="3">
        <f t="shared" si="0"/>
        <v>1.4</v>
      </c>
      <c r="M35" s="4">
        <f t="shared" si="1"/>
        <v>254.40200964668159</v>
      </c>
    </row>
    <row r="36" spans="1:13" x14ac:dyDescent="0.3">
      <c r="A36" s="1">
        <v>18</v>
      </c>
      <c r="B36" s="6" cm="1">
        <f t="array" ref="B36">FGivenP($C$3,$A36)</f>
        <v>3.9960194991849343</v>
      </c>
      <c r="C36" s="6" cm="1">
        <f t="array" ref="C36">PGivenF($C$3,$A36)</f>
        <v>0.25024902911609148</v>
      </c>
      <c r="D36" s="6" cm="1">
        <f t="array" ref="D36">AGivenF($C$3,$A36)</f>
        <v>2.6702095904837724E-2</v>
      </c>
      <c r="E36" s="6" cm="1">
        <f t="array" ref="E36">FGivenA($C$3,$A36)</f>
        <v>37.450243739811675</v>
      </c>
      <c r="F36" s="6" cm="1">
        <f t="array" ref="F36">AGivenP($C$3,$A36)</f>
        <v>0.10670209590483773</v>
      </c>
      <c r="G36" s="6" cm="1">
        <f t="array" ref="G36">PGivenA($C$3,$A36)</f>
        <v>9.3718871360488567</v>
      </c>
      <c r="H36" s="6" cm="1">
        <f t="array" ref="H36">AGivenG($C$3,$A36)</f>
        <v>6.4920284214115123</v>
      </c>
      <c r="J36" s="6" cm="1">
        <f t="array" ref="J36">GeoGradienT(C$3, $A36,C$5)</f>
        <v>330.70630880125537</v>
      </c>
      <c r="K36" s="6" cm="1">
        <f t="array" ref="K36">PGivenA($C$8,$A36)</f>
        <v>462.98883232175541</v>
      </c>
      <c r="L36" s="3">
        <f t="shared" si="0"/>
        <v>1.4</v>
      </c>
      <c r="M36" s="4">
        <f t="shared" si="1"/>
        <v>330.7063088012539</v>
      </c>
    </row>
    <row r="37" spans="1:13" x14ac:dyDescent="0.3">
      <c r="A37" s="1">
        <v>19</v>
      </c>
      <c r="B37" s="6" cm="1">
        <f t="array" ref="B37">FGivenP($C$3,$A37)</f>
        <v>4.3157010591197293</v>
      </c>
      <c r="C37" s="6" cm="1">
        <f t="array" ref="C37">PGivenF($C$3,$A37)</f>
        <v>0.231712063996381</v>
      </c>
      <c r="D37" s="6" cm="1">
        <f t="array" ref="D37">AGivenF($C$3,$A37)</f>
        <v>2.4127627483172095E-2</v>
      </c>
      <c r="E37" s="6" cm="1">
        <f t="array" ref="E37">FGivenA($C$3,$A37)</f>
        <v>41.446263238996615</v>
      </c>
      <c r="F37" s="6" cm="1">
        <f t="array" ref="F37">AGivenP($C$3,$A37)</f>
        <v>0.1041276274831721</v>
      </c>
      <c r="G37" s="6" cm="1">
        <f t="array" ref="G37">PGivenA($C$3,$A37)</f>
        <v>9.6035992000452381</v>
      </c>
      <c r="H37" s="6" cm="1">
        <f t="array" ref="H37">AGivenG($C$3,$A37)</f>
        <v>6.7696884727466271</v>
      </c>
      <c r="J37" s="6" cm="1">
        <f t="array" ref="J37">GeoGradienT(C$3, $A37,C$5)</f>
        <v>429.61928918681258</v>
      </c>
      <c r="K37" s="6" cm="1">
        <f t="array" ref="K37">PGivenA($C$8,$A37)</f>
        <v>601.46700486153463</v>
      </c>
      <c r="L37" s="3">
        <f t="shared" ref="L37:L67" si="2">(1+C$5)</f>
        <v>1.4</v>
      </c>
      <c r="M37" s="4">
        <f t="shared" ref="M37:M67" si="3">K37/L37</f>
        <v>429.61928918681048</v>
      </c>
    </row>
    <row r="38" spans="1:13" x14ac:dyDescent="0.3">
      <c r="A38" s="1">
        <v>20</v>
      </c>
      <c r="B38" s="6" cm="1">
        <f t="array" ref="B38">FGivenP($C$3,$A38)</f>
        <v>4.6609571438493083</v>
      </c>
      <c r="C38" s="6" cm="1">
        <f t="array" ref="C38">PGivenF($C$3,$A38)</f>
        <v>0.21454820740405645</v>
      </c>
      <c r="D38" s="6" cm="1">
        <f t="array" ref="D38">AGivenF($C$3,$A38)</f>
        <v>2.185220882315058E-2</v>
      </c>
      <c r="E38" s="6" cm="1">
        <f t="array" ref="E38">FGivenA($C$3,$A38)</f>
        <v>45.761964298116354</v>
      </c>
      <c r="F38" s="6" cm="1">
        <f t="array" ref="F38">AGivenP($C$3,$A38)</f>
        <v>0.10185220882315058</v>
      </c>
      <c r="G38" s="6" cm="1">
        <f t="array" ref="G38">PGivenA($C$3,$A38)</f>
        <v>9.8181474074492936</v>
      </c>
      <c r="H38" s="6" cm="1">
        <f t="array" ref="H38">AGivenG($C$3,$A38)</f>
        <v>7.0369477942123551</v>
      </c>
      <c r="J38" s="6" cm="1">
        <f t="array" ref="J38">GeoGradienT(C$3, $A38,C$5)</f>
        <v>557.83981931623862</v>
      </c>
      <c r="K38" s="6" cm="1">
        <f t="array" ref="K38">PGivenA($C$8,$A38)</f>
        <v>780.97574704273006</v>
      </c>
      <c r="L38" s="3">
        <f t="shared" si="2"/>
        <v>1.4</v>
      </c>
      <c r="M38" s="4">
        <f t="shared" si="3"/>
        <v>557.83981931623578</v>
      </c>
    </row>
    <row r="39" spans="1:13" x14ac:dyDescent="0.3">
      <c r="A39" s="1">
        <v>21</v>
      </c>
      <c r="B39" s="6" cm="1">
        <f t="array" ref="B39">FGivenP($C$3,$A39)</f>
        <v>5.033833715357253</v>
      </c>
      <c r="C39" s="6" cm="1">
        <f t="array" ref="C39">PGivenF($C$3,$A39)</f>
        <v>0.19865574759634858</v>
      </c>
      <c r="D39" s="6" cm="1">
        <f t="array" ref="D39">AGivenF($C$3,$A39)</f>
        <v>1.9832250321928521E-2</v>
      </c>
      <c r="E39" s="6" cm="1">
        <f t="array" ref="E39">FGivenA($C$3,$A39)</f>
        <v>50.422921441965663</v>
      </c>
      <c r="F39" s="6" cm="1">
        <f t="array" ref="F39">AGivenP($C$3,$A39)</f>
        <v>9.9832250321928523E-2</v>
      </c>
      <c r="G39" s="6" cm="1">
        <f t="array" ref="G39">PGivenA($C$3,$A39)</f>
        <v>10.016803155045643</v>
      </c>
      <c r="H39" s="6" cm="1">
        <f t="array" ref="H39">AGivenG($C$3,$A39)</f>
        <v>7.2940342904937632</v>
      </c>
      <c r="J39" s="6" cm="1">
        <f t="array" ref="J39">GeoGradienT(C$3, $A39,C$5)</f>
        <v>724.05161763216108</v>
      </c>
      <c r="K39" s="6" cm="1">
        <f t="array" ref="K39">PGivenA($C$8,$A39)</f>
        <v>1013.6722646850202</v>
      </c>
      <c r="L39" s="3">
        <f t="shared" si="2"/>
        <v>1.4</v>
      </c>
      <c r="M39" s="4">
        <f t="shared" si="3"/>
        <v>724.05161763215733</v>
      </c>
    </row>
    <row r="40" spans="1:13" x14ac:dyDescent="0.3">
      <c r="A40" s="1">
        <v>22</v>
      </c>
      <c r="B40" s="6" cm="1">
        <f t="array" ref="B40">FGivenP($C$3,$A40)</f>
        <v>5.4365404125858339</v>
      </c>
      <c r="C40" s="6" cm="1">
        <f t="array" ref="C40">PGivenF($C$3,$A40)</f>
        <v>0.18394050703365605</v>
      </c>
      <c r="D40" s="6" cm="1">
        <f t="array" ref="D40">AGivenF($C$3,$A40)</f>
        <v>1.8032068359628006E-2</v>
      </c>
      <c r="E40" s="6" cm="1">
        <f t="array" ref="E40">FGivenA($C$3,$A40)</f>
        <v>55.456755157322924</v>
      </c>
      <c r="F40" s="6" cm="1">
        <f t="array" ref="F40">AGivenP($C$3,$A40)</f>
        <v>9.8032068359628008E-2</v>
      </c>
      <c r="G40" s="6" cm="1">
        <f t="array" ref="G40">PGivenA($C$3,$A40)</f>
        <v>10.200743662079299</v>
      </c>
      <c r="H40" s="6" cm="1">
        <f t="array" ref="H40">AGivenG($C$3,$A40)</f>
        <v>7.5411812011022974</v>
      </c>
      <c r="J40" s="6" cm="1">
        <f t="array" ref="J40">GeoGradienT(C$3, $A40,C$5)</f>
        <v>939.51135618983858</v>
      </c>
      <c r="K40" s="6" cm="1">
        <f t="array" ref="K40">PGivenA($C$8,$A40)</f>
        <v>1315.3158986657666</v>
      </c>
      <c r="L40" s="3">
        <f t="shared" si="2"/>
        <v>1.4</v>
      </c>
      <c r="M40" s="4">
        <f t="shared" si="3"/>
        <v>939.51135618983335</v>
      </c>
    </row>
    <row r="41" spans="1:13" x14ac:dyDescent="0.3">
      <c r="A41" s="1">
        <v>23</v>
      </c>
      <c r="B41" s="6" cm="1">
        <f t="array" ref="B41">FGivenP($C$3,$A41)</f>
        <v>5.8714636455927005</v>
      </c>
      <c r="C41" s="6" cm="1">
        <f t="array" ref="C41">PGivenF($C$3,$A41)</f>
        <v>0.17031528429042228</v>
      </c>
      <c r="D41" s="6" cm="1">
        <f t="array" ref="D41">AGivenF($C$3,$A41)</f>
        <v>1.6422169150821318E-2</v>
      </c>
      <c r="E41" s="6" cm="1">
        <f t="array" ref="E41">FGivenA($C$3,$A41)</f>
        <v>60.893295569908759</v>
      </c>
      <c r="F41" s="6" cm="1">
        <f t="array" ref="F41">AGivenP($C$3,$A41)</f>
        <v>9.6422169150821316E-2</v>
      </c>
      <c r="G41" s="6" cm="1">
        <f t="array" ref="G41">PGivenA($C$3,$A41)</f>
        <v>10.371058946369722</v>
      </c>
      <c r="H41" s="6" cm="1">
        <f t="array" ref="H41">AGivenG($C$3,$A41)</f>
        <v>7.7786263691388706</v>
      </c>
      <c r="J41" s="6" cm="1">
        <f t="array" ref="J41">GeoGradienT(C$3, $A41,C$5)</f>
        <v>1218.8110172831241</v>
      </c>
      <c r="K41" s="6" cm="1">
        <f t="array" ref="K41">PGivenA($C$8,$A41)</f>
        <v>1706.3354241963639</v>
      </c>
      <c r="L41" s="3">
        <f t="shared" si="2"/>
        <v>1.4</v>
      </c>
      <c r="M41" s="4">
        <f t="shared" si="3"/>
        <v>1218.8110172831171</v>
      </c>
    </row>
    <row r="42" spans="1:13" x14ac:dyDescent="0.3">
      <c r="A42" s="1">
        <v>24</v>
      </c>
      <c r="B42" s="6" cm="1">
        <f t="array" ref="B42">FGivenP($C$3,$A42)</f>
        <v>6.3411807372401174</v>
      </c>
      <c r="C42" s="6" cm="1">
        <f t="array" ref="C42">PGivenF($C$3,$A42)</f>
        <v>0.15769933730594654</v>
      </c>
      <c r="D42" s="6" cm="1">
        <f t="array" ref="D42">AGivenF($C$3,$A42)</f>
        <v>1.4977961603549372E-2</v>
      </c>
      <c r="E42" s="6" cm="1">
        <f t="array" ref="E42">FGivenA($C$3,$A42)</f>
        <v>66.764759215501471</v>
      </c>
      <c r="F42" s="6" cm="1">
        <f t="array" ref="F42">AGivenP($C$3,$A42)</f>
        <v>9.4977961603549377E-2</v>
      </c>
      <c r="G42" s="6" cm="1">
        <f t="array" ref="G42">PGivenA($C$3,$A42)</f>
        <v>10.528758283675668</v>
      </c>
      <c r="H42" s="6" cm="1">
        <f t="array" ref="H42">AGivenG($C$3,$A42)</f>
        <v>8.0066115189351876</v>
      </c>
      <c r="J42" s="6" cm="1">
        <f t="array" ref="J42">GeoGradienT(C$3, $A42,C$5)</f>
        <v>1580.866133515161</v>
      </c>
      <c r="K42" s="6" cm="1">
        <f t="array" ref="K42">PGivenA($C$8,$A42)</f>
        <v>2213.2125869212123</v>
      </c>
      <c r="L42" s="3">
        <f t="shared" si="2"/>
        <v>1.4</v>
      </c>
      <c r="M42" s="4">
        <f t="shared" si="3"/>
        <v>1580.8661335151517</v>
      </c>
    </row>
    <row r="43" spans="1:13" x14ac:dyDescent="0.3">
      <c r="A43" s="1">
        <v>25</v>
      </c>
      <c r="B43" s="6" cm="1">
        <f t="array" ref="B43">FGivenP($C$3,$A43)</f>
        <v>6.8484751962193275</v>
      </c>
      <c r="C43" s="6" cm="1">
        <f t="array" ref="C43">PGivenF($C$3,$A43)</f>
        <v>0.14601790491291344</v>
      </c>
      <c r="D43" s="6" cm="1">
        <f t="array" ref="D43">AGivenF($C$3,$A43)</f>
        <v>1.3678779051968107E-2</v>
      </c>
      <c r="E43" s="6" cm="1">
        <f t="array" ref="E43">FGivenA($C$3,$A43)</f>
        <v>73.105939952741593</v>
      </c>
      <c r="F43" s="6" cm="1">
        <f t="array" ref="F43">AGivenP($C$3,$A43)</f>
        <v>9.3678779051968114E-2</v>
      </c>
      <c r="G43" s="6" cm="1">
        <f t="array" ref="G43">PGivenA($C$3,$A43)</f>
        <v>10.674776188588583</v>
      </c>
      <c r="H43" s="6" cm="1">
        <f t="array" ref="H43">AGivenG($C$3,$A43)</f>
        <v>8.2253815462599658</v>
      </c>
      <c r="J43" s="6" cm="1">
        <f t="array" ref="J43">GeoGradienT(C$3, $A43,C$5)</f>
        <v>2050.1968397418755</v>
      </c>
      <c r="K43" s="6" cm="1">
        <f t="array" ref="K43">PGivenA($C$8,$A43)</f>
        <v>2870.2755756386077</v>
      </c>
      <c r="L43" s="3">
        <f t="shared" si="2"/>
        <v>1.4</v>
      </c>
      <c r="M43" s="4">
        <f t="shared" si="3"/>
        <v>2050.1968397418627</v>
      </c>
    </row>
    <row r="44" spans="1:13" x14ac:dyDescent="0.3">
      <c r="A44" s="1">
        <v>26</v>
      </c>
      <c r="B44" s="6" cm="1">
        <f t="array" ref="B44">FGivenP($C$3,$A44)</f>
        <v>7.3963532119168738</v>
      </c>
      <c r="C44" s="6" cm="1">
        <f t="array" ref="C44">PGivenF($C$3,$A44)</f>
        <v>0.13520176380825319</v>
      </c>
      <c r="D44" s="6" cm="1">
        <f t="array" ref="D44">AGivenF($C$3,$A44)</f>
        <v>1.250712669384082E-2</v>
      </c>
      <c r="E44" s="6" cm="1">
        <f t="array" ref="E44">FGivenA($C$3,$A44)</f>
        <v>79.954415148960919</v>
      </c>
      <c r="F44" s="6" cm="1">
        <f t="array" ref="F44">AGivenP($C$3,$A44)</f>
        <v>9.2507126693840827E-2</v>
      </c>
      <c r="G44" s="6" cm="1">
        <f t="array" ref="G44">PGivenA($C$3,$A44)</f>
        <v>10.809977952396835</v>
      </c>
      <c r="H44" s="6" cm="1">
        <f t="array" ref="H44">AGivenG($C$3,$A44)</f>
        <v>8.435183824501733</v>
      </c>
      <c r="J44" s="6" cm="1">
        <f t="array" ref="J44">GeoGradienT(C$3, $A44,C$5)</f>
        <v>2658.588495961691</v>
      </c>
      <c r="K44" s="6" cm="1">
        <f t="array" ref="K44">PGivenA($C$8,$A44)</f>
        <v>3722.0238943463428</v>
      </c>
      <c r="L44" s="3">
        <f t="shared" si="2"/>
        <v>1.4</v>
      </c>
      <c r="M44" s="4">
        <f t="shared" si="3"/>
        <v>2658.5884959616737</v>
      </c>
    </row>
    <row r="45" spans="1:13" x14ac:dyDescent="0.3">
      <c r="A45" s="1">
        <v>27</v>
      </c>
      <c r="B45" s="6" cm="1">
        <f t="array" ref="B45">FGivenP($C$3,$A45)</f>
        <v>7.9880614688702245</v>
      </c>
      <c r="C45" s="6" cm="1">
        <f t="array" ref="C45">PGivenF($C$3,$A45)</f>
        <v>0.12518681834097517</v>
      </c>
      <c r="D45" s="6" cm="1">
        <f t="array" ref="D45">AGivenF($C$3,$A45)</f>
        <v>1.1448096207564382E-2</v>
      </c>
      <c r="E45" s="6" cm="1">
        <f t="array" ref="E45">FGivenA($C$3,$A45)</f>
        <v>87.350768360877808</v>
      </c>
      <c r="F45" s="6" cm="1">
        <f t="array" ref="F45">AGivenP($C$3,$A45)</f>
        <v>9.1448096207564389E-2</v>
      </c>
      <c r="G45" s="6" cm="1">
        <f t="array" ref="G45">PGivenA($C$3,$A45)</f>
        <v>10.93516477073781</v>
      </c>
      <c r="H45" s="6" cm="1">
        <f t="array" ref="H45">AGivenG($C$3,$A45)</f>
        <v>8.6362675299470215</v>
      </c>
      <c r="J45" s="6" cm="1">
        <f t="array" ref="J45">GeoGradienT(C$3, $A45,C$5)</f>
        <v>3447.2443466170071</v>
      </c>
      <c r="K45" s="6" cm="1">
        <f t="array" ref="K45">PGivenA($C$8,$A45)</f>
        <v>4826.1420852637766</v>
      </c>
      <c r="L45" s="3">
        <f t="shared" si="2"/>
        <v>1.4</v>
      </c>
      <c r="M45" s="4">
        <f t="shared" si="3"/>
        <v>3447.2443466169834</v>
      </c>
    </row>
    <row r="46" spans="1:13" x14ac:dyDescent="0.3">
      <c r="A46" s="1">
        <v>28</v>
      </c>
      <c r="B46" s="6" cm="1">
        <f t="array" ref="B46">FGivenP($C$3,$A46)</f>
        <v>8.6271063863798432</v>
      </c>
      <c r="C46" s="6" cm="1">
        <f t="array" ref="C46">PGivenF($C$3,$A46)</f>
        <v>0.1159137206860881</v>
      </c>
      <c r="D46" s="6" cm="1">
        <f t="array" ref="D46">AGivenF($C$3,$A46)</f>
        <v>1.0488905745809518E-2</v>
      </c>
      <c r="E46" s="6" cm="1">
        <f t="array" ref="E46">FGivenA($C$3,$A46)</f>
        <v>95.338829829748036</v>
      </c>
      <c r="F46" s="6" cm="1">
        <f t="array" ref="F46">AGivenP($C$3,$A46)</f>
        <v>9.048890574580952E-2</v>
      </c>
      <c r="G46" s="6" cm="1">
        <f t="array" ref="G46">PGivenA($C$3,$A46)</f>
        <v>11.051078491423899</v>
      </c>
      <c r="H46" s="6" cm="1">
        <f t="array" ref="H46">AGivenG($C$3,$A46)</f>
        <v>8.8288829889666687</v>
      </c>
      <c r="J46" s="6" cm="1">
        <f t="array" ref="J46">GeoGradienT(C$3, $A46,C$5)</f>
        <v>4469.5760048738985</v>
      </c>
      <c r="K46" s="6" cm="1">
        <f t="array" ref="K46">PGivenA($C$8,$A46)</f>
        <v>6257.406406823412</v>
      </c>
      <c r="L46" s="3">
        <f t="shared" si="2"/>
        <v>1.4</v>
      </c>
      <c r="M46" s="4">
        <f t="shared" si="3"/>
        <v>4469.5760048738657</v>
      </c>
    </row>
    <row r="47" spans="1:13" x14ac:dyDescent="0.3">
      <c r="A47" s="1">
        <v>29</v>
      </c>
      <c r="B47" s="6" cm="1">
        <f t="array" ref="B47">FGivenP($C$3,$A47)</f>
        <v>9.3172748972902308</v>
      </c>
      <c r="C47" s="6" cm="1">
        <f t="array" ref="C47">PGivenF($C$3,$A47)</f>
        <v>0.10732751915378527</v>
      </c>
      <c r="D47" s="6" cm="1">
        <f t="array" ref="D47">AGivenF($C$3,$A47)</f>
        <v>9.6185350355636329E-3</v>
      </c>
      <c r="E47" s="6" cm="1">
        <f t="array" ref="E47">FGivenA($C$3,$A47)</f>
        <v>103.96593621612789</v>
      </c>
      <c r="F47" s="6" cm="1">
        <f t="array" ref="F47">AGivenP($C$3,$A47)</f>
        <v>8.9618535035563635E-2</v>
      </c>
      <c r="G47" s="6" cm="1">
        <f t="array" ref="G47">PGivenA($C$3,$A47)</f>
        <v>11.158406010577684</v>
      </c>
      <c r="H47" s="6" cm="1">
        <f t="array" ref="H47">AGivenG($C$3,$A47)</f>
        <v>9.0132810496081834</v>
      </c>
      <c r="J47" s="6" cm="1">
        <f t="array" ref="J47">GeoGradienT(C$3, $A47,C$5)</f>
        <v>5794.8207470587586</v>
      </c>
      <c r="K47" s="6" cm="1">
        <f t="array" ref="K47">PGivenA($C$8,$A47)</f>
        <v>8112.7490458821994</v>
      </c>
      <c r="L47" s="3">
        <f t="shared" si="2"/>
        <v>1.4</v>
      </c>
      <c r="M47" s="4">
        <f t="shared" si="3"/>
        <v>5794.820747058714</v>
      </c>
    </row>
    <row r="48" spans="1:13" x14ac:dyDescent="0.3">
      <c r="A48" s="1">
        <v>30</v>
      </c>
      <c r="B48" s="6" cm="1">
        <f t="array" ref="B48">FGivenP($C$3,$A48)</f>
        <v>10.06265688907345</v>
      </c>
      <c r="C48" s="6" cm="1">
        <f t="array" ref="C48">PGivenF($C$3,$A48)</f>
        <v>9.9377332549801176E-2</v>
      </c>
      <c r="D48" s="6" cm="1">
        <f t="array" ref="D48">AGivenF($C$3,$A48)</f>
        <v>8.8274333872722689E-3</v>
      </c>
      <c r="E48" s="6" cm="1">
        <f t="array" ref="E48">FGivenA($C$3,$A48)</f>
        <v>113.28321111341812</v>
      </c>
      <c r="F48" s="6" cm="1">
        <f t="array" ref="F48">AGivenP($C$3,$A48)</f>
        <v>8.8827433387272267E-2</v>
      </c>
      <c r="G48" s="6" cm="1">
        <f t="array" ref="G48">PGivenA($C$3,$A48)</f>
        <v>11.257783343127485</v>
      </c>
      <c r="H48" s="6" cm="1">
        <f t="array" ref="H48">AGivenG($C$3,$A48)</f>
        <v>9.1897124797728988</v>
      </c>
      <c r="J48" s="6" cm="1">
        <f t="array" ref="J48">GeoGradienT(C$3, $A48,C$5)</f>
        <v>7512.730598039132</v>
      </c>
      <c r="K48" s="6" cm="1">
        <f t="array" ref="K48">PGivenA($C$8,$A48)</f>
        <v>10517.822837254702</v>
      </c>
      <c r="L48" s="3">
        <f t="shared" si="2"/>
        <v>1.4</v>
      </c>
      <c r="M48" s="4">
        <f t="shared" si="3"/>
        <v>7512.7305980390729</v>
      </c>
    </row>
    <row r="49" spans="1:13" x14ac:dyDescent="0.3">
      <c r="A49" s="1">
        <v>31</v>
      </c>
      <c r="B49" s="6" cm="1">
        <f t="array" ref="B49">FGivenP($C$3,$A49)</f>
        <v>10.867669440199327</v>
      </c>
      <c r="C49" s="6" cm="1">
        <f t="array" ref="C49">PGivenF($C$3,$A49)</f>
        <v>9.2016048657223307E-2</v>
      </c>
      <c r="D49" s="6" cm="1">
        <f t="array" ref="D49">AGivenF($C$3,$A49)</f>
        <v>8.1072841449362533E-3</v>
      </c>
      <c r="E49" s="6" cm="1">
        <f t="array" ref="E49">FGivenA($C$3,$A49)</f>
        <v>123.34586800249159</v>
      </c>
      <c r="F49" s="6" cm="1">
        <f t="array" ref="F49">AGivenP($C$3,$A49)</f>
        <v>8.8107284144936251E-2</v>
      </c>
      <c r="G49" s="6" cm="1">
        <f t="array" ref="G49">PGivenA($C$3,$A49)</f>
        <v>11.349799391784709</v>
      </c>
      <c r="H49" s="6" cm="1">
        <f t="array" ref="H49">AGivenG($C$3,$A49)</f>
        <v>9.3584273938372018</v>
      </c>
      <c r="J49" s="6" cm="1">
        <f t="array" ref="J49">GeoGradienT(C$3, $A49,C$5)</f>
        <v>9739.6507752359121</v>
      </c>
      <c r="K49" s="6" cm="1">
        <f t="array" ref="K49">PGivenA($C$8,$A49)</f>
        <v>13635.511085330165</v>
      </c>
      <c r="L49" s="3">
        <f t="shared" si="2"/>
        <v>1.4</v>
      </c>
      <c r="M49" s="4">
        <f t="shared" si="3"/>
        <v>9739.650775235832</v>
      </c>
    </row>
    <row r="50" spans="1:13" x14ac:dyDescent="0.3">
      <c r="A50" s="1">
        <v>32</v>
      </c>
      <c r="B50" s="6" cm="1">
        <f t="array" ref="B50">FGivenP($C$3,$A50)</f>
        <v>11.737082995415273</v>
      </c>
      <c r="C50" s="6" cm="1">
        <f t="array" ref="C50">PGivenF($C$3,$A50)</f>
        <v>8.5200045052984535E-2</v>
      </c>
      <c r="D50" s="6" cm="1">
        <f t="array" ref="D50">AGivenF($C$3,$A50)</f>
        <v>7.4508132268475474E-3</v>
      </c>
      <c r="E50" s="6" cm="1">
        <f t="array" ref="E50">FGivenA($C$3,$A50)</f>
        <v>134.21353744269092</v>
      </c>
      <c r="F50" s="6" cm="1">
        <f t="array" ref="F50">AGivenP($C$3,$A50)</f>
        <v>8.7450813226847543E-2</v>
      </c>
      <c r="G50" s="6" cm="1">
        <f t="array" ref="G50">PGivenA($C$3,$A50)</f>
        <v>11.434999436837693</v>
      </c>
      <c r="H50" s="6" cm="1">
        <f t="array" ref="H50">AGivenG($C$3,$A50)</f>
        <v>9.5196747092609808</v>
      </c>
      <c r="J50" s="6" cm="1">
        <f t="array" ref="J50">GeoGradienT(C$3, $A50,C$5)</f>
        <v>12626.399153083592</v>
      </c>
      <c r="K50" s="6" cm="1">
        <f t="array" ref="K50">PGivenA($C$8,$A50)</f>
        <v>17676.95881431688</v>
      </c>
      <c r="L50" s="3">
        <f t="shared" si="2"/>
        <v>1.4</v>
      </c>
      <c r="M50" s="4">
        <f t="shared" si="3"/>
        <v>12626.399153083486</v>
      </c>
    </row>
    <row r="51" spans="1:13" x14ac:dyDescent="0.3">
      <c r="A51" s="1">
        <v>33</v>
      </c>
      <c r="B51" s="6" cm="1">
        <f t="array" ref="B51">FGivenP($C$3,$A51)</f>
        <v>12.676049635048496</v>
      </c>
      <c r="C51" s="6" cm="1">
        <f t="array" ref="C51">PGivenF($C$3,$A51)</f>
        <v>7.8888930604615312E-2</v>
      </c>
      <c r="D51" s="6" cm="1">
        <f t="array" ref="D51">AGivenF($C$3,$A51)</f>
        <v>6.8516324014125966E-3</v>
      </c>
      <c r="E51" s="6" cm="1">
        <f t="array" ref="E51">FGivenA($C$3,$A51)</f>
        <v>145.9506204381062</v>
      </c>
      <c r="F51" s="6" cm="1">
        <f t="array" ref="F51">AGivenP($C$3,$A51)</f>
        <v>8.6851632401412596E-2</v>
      </c>
      <c r="G51" s="6" cm="1">
        <f t="array" ref="G51">PGivenA($C$3,$A51)</f>
        <v>11.513888367442309</v>
      </c>
      <c r="H51" s="6" cm="1">
        <f t="array" ref="H51">AGivenG($C$3,$A51)</f>
        <v>9.6737016344173039</v>
      </c>
      <c r="J51" s="6" cm="1">
        <f t="array" ref="J51">GeoGradienT(C$3, $A51,C$5)</f>
        <v>16368.48038362688</v>
      </c>
      <c r="K51" s="6" cm="1">
        <f t="array" ref="K51">PGivenA($C$8,$A51)</f>
        <v>22915.87253707743</v>
      </c>
      <c r="L51" s="3">
        <f t="shared" si="2"/>
        <v>1.4</v>
      </c>
      <c r="M51" s="4">
        <f t="shared" si="3"/>
        <v>16368.480383626737</v>
      </c>
    </row>
    <row r="52" spans="1:13" x14ac:dyDescent="0.3">
      <c r="A52" s="1">
        <v>34</v>
      </c>
      <c r="B52" s="6" cm="1">
        <f t="array" ref="B52">FGivenP($C$3,$A52)</f>
        <v>13.690133605852377</v>
      </c>
      <c r="C52" s="6" cm="1">
        <f t="array" ref="C52">PGivenF($C$3,$A52)</f>
        <v>7.304530611538454E-2</v>
      </c>
      <c r="D52" s="6" cm="1">
        <f t="array" ref="D52">AGivenF($C$3,$A52)</f>
        <v>6.3041101445225111E-3</v>
      </c>
      <c r="E52" s="6" cm="1">
        <f t="array" ref="E52">FGivenA($C$3,$A52)</f>
        <v>158.62667007315471</v>
      </c>
      <c r="F52" s="6" cm="1">
        <f t="array" ref="F52">AGivenP($C$3,$A52)</f>
        <v>8.6304110144522508E-2</v>
      </c>
      <c r="G52" s="6" cm="1">
        <f t="array" ref="G52">PGivenA($C$3,$A52)</f>
        <v>11.586933673557693</v>
      </c>
      <c r="H52" s="6" cm="1">
        <f t="array" ref="H52">AGivenG($C$3,$A52)</f>
        <v>9.8207531885779336</v>
      </c>
      <c r="J52" s="6" cm="1">
        <f t="array" ref="J52">GeoGradienT(C$3, $A52,C$5)</f>
        <v>21219.326423220034</v>
      </c>
      <c r="K52" s="6" cm="1">
        <f t="array" ref="K52">PGivenA($C$8,$A52)</f>
        <v>29707.05699250778</v>
      </c>
      <c r="L52" s="3">
        <f t="shared" si="2"/>
        <v>1.4</v>
      </c>
      <c r="M52" s="4">
        <f t="shared" si="3"/>
        <v>21219.326423219845</v>
      </c>
    </row>
    <row r="53" spans="1:13" x14ac:dyDescent="0.3">
      <c r="A53" s="1">
        <v>35</v>
      </c>
      <c r="B53" s="6" cm="1">
        <f t="array" ref="B53">FGivenP($C$3,$A53)</f>
        <v>14.785344294320568</v>
      </c>
      <c r="C53" s="6" cm="1">
        <f t="array" ref="C53">PGivenF($C$3,$A53)</f>
        <v>6.7634542699430117E-2</v>
      </c>
      <c r="D53" s="6" cm="1">
        <f t="array" ref="D53">AGivenF($C$3,$A53)</f>
        <v>5.8032645606797975E-3</v>
      </c>
      <c r="E53" s="6" cm="1">
        <f t="array" ref="E53">FGivenA($C$3,$A53)</f>
        <v>172.31680367900711</v>
      </c>
      <c r="F53" s="6" cm="1">
        <f t="array" ref="F53">AGivenP($C$3,$A53)</f>
        <v>8.5803264560679798E-2</v>
      </c>
      <c r="G53" s="6" cm="1">
        <f t="array" ref="G53">PGivenA($C$3,$A53)</f>
        <v>11.654568216257124</v>
      </c>
      <c r="H53" s="6" cm="1">
        <f t="array" ref="H53">AGivenG($C$3,$A53)</f>
        <v>9.9610717547025889</v>
      </c>
      <c r="J53" s="6" cm="1">
        <f t="array" ref="J53">GeoGradienT(C$3, $A53,C$5)</f>
        <v>27507.460178248188</v>
      </c>
      <c r="K53" s="6" cm="1">
        <f t="array" ref="K53">PGivenA($C$8,$A53)</f>
        <v>38510.444249547108</v>
      </c>
      <c r="L53" s="3">
        <f t="shared" si="2"/>
        <v>1.4</v>
      </c>
      <c r="M53" s="4">
        <f t="shared" si="3"/>
        <v>27507.460178247937</v>
      </c>
    </row>
    <row r="54" spans="1:13" x14ac:dyDescent="0.3">
      <c r="A54" s="1">
        <v>36</v>
      </c>
      <c r="B54" s="6" cm="1">
        <f t="array" ref="B54">FGivenP($C$3,$A54)</f>
        <v>15.968171837866215</v>
      </c>
      <c r="C54" s="6" cm="1">
        <f t="array" ref="C54">PGivenF($C$3,$A54)</f>
        <v>6.2624576573546406E-2</v>
      </c>
      <c r="D54" s="6" cm="1">
        <f t="array" ref="D54">AGivenF($C$3,$A54)</f>
        <v>5.3446740768713936E-3</v>
      </c>
      <c r="E54" s="6" cm="1">
        <f t="array" ref="E54">FGivenA($C$3,$A54)</f>
        <v>187.10214797332767</v>
      </c>
      <c r="F54" s="6" cm="1">
        <f t="array" ref="F54">AGivenP($C$3,$A54)</f>
        <v>8.5344674076871394E-2</v>
      </c>
      <c r="G54" s="6" cm="1">
        <f t="array" ref="G54">PGivenA($C$3,$A54)</f>
        <v>11.717192792830669</v>
      </c>
      <c r="H54" s="6" cm="1">
        <f t="array" ref="H54">AGivenG($C$3,$A54)</f>
        <v>10.094896665407873</v>
      </c>
      <c r="J54" s="6" cm="1">
        <f t="array" ref="J54">GeoGradienT(C$3, $A54,C$5)</f>
        <v>35658.744675506918</v>
      </c>
      <c r="K54" s="6" cm="1">
        <f t="array" ref="K54">PGivenA($C$8,$A54)</f>
        <v>49922.242545709203</v>
      </c>
      <c r="L54" s="3">
        <f t="shared" si="2"/>
        <v>1.4</v>
      </c>
      <c r="M54" s="4">
        <f t="shared" si="3"/>
        <v>35658.744675506576</v>
      </c>
    </row>
    <row r="55" spans="1:13" x14ac:dyDescent="0.3">
      <c r="A55" s="1">
        <v>37</v>
      </c>
      <c r="B55" s="6" cm="1">
        <f t="array" ref="B55">FGivenP($C$3,$A55)</f>
        <v>17.245625584895514</v>
      </c>
      <c r="C55" s="6" cm="1">
        <f t="array" ref="C55">PGivenF($C$3,$A55)</f>
        <v>5.7985719049579998E-2</v>
      </c>
      <c r="D55" s="6" cm="1">
        <f t="array" ref="D55">AGivenF($C$3,$A55)</f>
        <v>4.9244025465156951E-3</v>
      </c>
      <c r="E55" s="6" cm="1">
        <f t="array" ref="E55">FGivenA($C$3,$A55)</f>
        <v>203.07031981119391</v>
      </c>
      <c r="F55" s="6" cm="1">
        <f t="array" ref="F55">AGivenP($C$3,$A55)</f>
        <v>8.4924402546515704E-2</v>
      </c>
      <c r="G55" s="6" cm="1">
        <f t="array" ref="G55">PGivenA($C$3,$A55)</f>
        <v>11.775178511880251</v>
      </c>
      <c r="H55" s="6" cm="1">
        <f t="array" ref="H55">AGivenG($C$3,$A55)</f>
        <v>10.22246382223649</v>
      </c>
      <c r="J55" s="6" cm="1">
        <f t="array" ref="J55">GeoGradienT(C$3, $A55,C$5)</f>
        <v>46225.224579360824</v>
      </c>
      <c r="K55" s="6" cm="1">
        <f t="array" ref="K55">PGivenA($C$8,$A55)</f>
        <v>64715.314411104519</v>
      </c>
      <c r="L55" s="3">
        <f t="shared" si="2"/>
        <v>1.4</v>
      </c>
      <c r="M55" s="4">
        <f t="shared" si="3"/>
        <v>46225.224579360372</v>
      </c>
    </row>
    <row r="56" spans="1:13" x14ac:dyDescent="0.3">
      <c r="A56" s="1">
        <v>38</v>
      </c>
      <c r="B56" s="6" cm="1">
        <f t="array" ref="B56">FGivenP($C$3,$A56)</f>
        <v>18.625275631687156</v>
      </c>
      <c r="C56" s="6" cm="1">
        <f t="array" ref="C56">PGivenF($C$3,$A56)</f>
        <v>5.3690480601462955E-2</v>
      </c>
      <c r="D56" s="6" cm="1">
        <f t="array" ref="D56">AGivenF($C$3,$A56)</f>
        <v>4.5389361092415502E-3</v>
      </c>
      <c r="E56" s="6" cm="1">
        <f t="array" ref="E56">FGivenA($C$3,$A56)</f>
        <v>220.31594539608946</v>
      </c>
      <c r="F56" s="6" cm="1">
        <f t="array" ref="F56">AGivenP($C$3,$A56)</f>
        <v>8.4538936109241555E-2</v>
      </c>
      <c r="G56" s="6" cm="1">
        <f t="array" ref="G56">PGivenA($C$3,$A56)</f>
        <v>11.828868992481713</v>
      </c>
      <c r="H56" s="6" cm="1">
        <f t="array" ref="H56">AGivenG($C$3,$A56)</f>
        <v>10.344005348110263</v>
      </c>
      <c r="J56" s="6" cm="1">
        <f t="array" ref="J56">GeoGradienT(C$3, $A56,C$5)</f>
        <v>59922.513343615894</v>
      </c>
      <c r="K56" s="6" cm="1">
        <f t="array" ref="K56">PGivenA($C$8,$A56)</f>
        <v>83891.518681061396</v>
      </c>
      <c r="L56" s="3">
        <f t="shared" si="2"/>
        <v>1.4</v>
      </c>
      <c r="M56" s="4">
        <f t="shared" si="3"/>
        <v>59922.51334361529</v>
      </c>
    </row>
    <row r="57" spans="1:13" x14ac:dyDescent="0.3">
      <c r="A57" s="1">
        <v>39</v>
      </c>
      <c r="B57" s="6" cm="1">
        <f t="array" ref="B57">FGivenP($C$3,$A57)</f>
        <v>20.115297682222128</v>
      </c>
      <c r="C57" s="6" cm="1">
        <f t="array" ref="C57">PGivenF($C$3,$A57)</f>
        <v>4.9713407964317557E-2</v>
      </c>
      <c r="D57" s="6" cm="1">
        <f t="array" ref="D57">AGivenF($C$3,$A57)</f>
        <v>4.1851296971641043E-3</v>
      </c>
      <c r="E57" s="6" cm="1">
        <f t="array" ref="E57">FGivenA($C$3,$A57)</f>
        <v>238.94122102777658</v>
      </c>
      <c r="F57" s="6" cm="1">
        <f t="array" ref="F57">AGivenP($C$3,$A57)</f>
        <v>8.4185129697164102E-2</v>
      </c>
      <c r="G57" s="6" cm="1">
        <f t="array" ref="G57">PGivenA($C$3,$A57)</f>
        <v>11.87858240044603</v>
      </c>
      <c r="H57" s="6" cm="1">
        <f t="array" ref="H57">AGivenG($C$3,$A57)</f>
        <v>10.459749272632498</v>
      </c>
      <c r="J57" s="6" cm="1">
        <f t="array" ref="J57">GeoGradienT(C$3, $A57,C$5)</f>
        <v>77678.258038020605</v>
      </c>
      <c r="K57" s="6" cm="1">
        <f t="array" ref="K57">PGivenA($C$8,$A57)</f>
        <v>108749.56125322772</v>
      </c>
      <c r="L57" s="3">
        <f t="shared" si="2"/>
        <v>1.4</v>
      </c>
      <c r="M57" s="4">
        <f t="shared" si="3"/>
        <v>77678.258038019805</v>
      </c>
    </row>
    <row r="58" spans="1:13" x14ac:dyDescent="0.3">
      <c r="A58" s="1">
        <v>40</v>
      </c>
      <c r="B58" s="6" cm="1">
        <f t="array" ref="B58">FGivenP($C$3,$A58)</f>
        <v>21.724521496799902</v>
      </c>
      <c r="C58" s="6" cm="1">
        <f t="array" ref="C58">PGivenF($C$3,$A58)</f>
        <v>4.6030933300294022E-2</v>
      </c>
      <c r="D58" s="6" cm="1">
        <f t="array" ref="D58">AGivenF($C$3,$A58)</f>
        <v>3.8601615005853284E-3</v>
      </c>
      <c r="E58" s="6" cm="1">
        <f t="array" ref="E58">FGivenA($C$3,$A58)</f>
        <v>259.05651870999878</v>
      </c>
      <c r="F58" s="6" cm="1">
        <f t="array" ref="F58">AGivenP($C$3,$A58)</f>
        <v>8.3860161500585326E-2</v>
      </c>
      <c r="G58" s="6" cm="1">
        <f t="array" ref="G58">PGivenA($C$3,$A58)</f>
        <v>11.924613333746324</v>
      </c>
      <c r="H58" s="6" cm="1">
        <f t="array" ref="H58">AGivenG($C$3,$A58)</f>
        <v>10.569919249707336</v>
      </c>
      <c r="J58" s="6" cm="1">
        <f t="array" ref="J58">GeoGradienT(C$3, $A58,C$5)</f>
        <v>100694.96412336006</v>
      </c>
      <c r="K58" s="6" cm="1">
        <f t="array" ref="K58">PGivenA($C$8,$A58)</f>
        <v>140972.94977270256</v>
      </c>
      <c r="L58" s="3">
        <f t="shared" si="2"/>
        <v>1.4</v>
      </c>
      <c r="M58" s="4">
        <f t="shared" si="3"/>
        <v>100694.96412335898</v>
      </c>
    </row>
    <row r="59" spans="1:13" x14ac:dyDescent="0.3">
      <c r="A59" s="1">
        <v>41</v>
      </c>
      <c r="B59" s="6" cm="1">
        <f t="array" ref="B59">FGivenP($C$3,$A59)</f>
        <v>23.462483216543895</v>
      </c>
      <c r="C59" s="6" cm="1">
        <f t="array" ref="C59">PGivenF($C$3,$A59)</f>
        <v>4.2621234537309281E-2</v>
      </c>
      <c r="D59" s="6" cm="1">
        <f t="array" ref="D59">AGivenF($C$3,$A59)</f>
        <v>3.5614940355783559E-3</v>
      </c>
      <c r="E59" s="6" cm="1">
        <f t="array" ref="E59">FGivenA($C$3,$A59)</f>
        <v>280.78104020679865</v>
      </c>
      <c r="F59" s="6" cm="1">
        <f t="array" ref="F59">AGivenP($C$3,$A59)</f>
        <v>8.356149403557836E-2</v>
      </c>
      <c r="G59" s="6" cm="1">
        <f t="array" ref="G59">PGivenA($C$3,$A59)</f>
        <v>11.967234568283633</v>
      </c>
      <c r="H59" s="6" cm="1">
        <f t="array" ref="H59">AGivenG($C$3,$A59)</f>
        <v>10.674734306766092</v>
      </c>
      <c r="J59" s="6" cm="1">
        <f t="array" ref="J59">GeoGradienT(C$3, $A59,C$5)</f>
        <v>130531.43497472601</v>
      </c>
      <c r="K59" s="6" cm="1">
        <f t="array" ref="K59">PGivenA($C$8,$A59)</f>
        <v>182744.00896461439</v>
      </c>
      <c r="L59" s="3">
        <f t="shared" si="2"/>
        <v>1.4</v>
      </c>
      <c r="M59" s="4">
        <f t="shared" si="3"/>
        <v>130531.43497472457</v>
      </c>
    </row>
    <row r="60" spans="1:13" x14ac:dyDescent="0.3">
      <c r="A60" s="1">
        <v>42</v>
      </c>
      <c r="B60" s="6" cm="1">
        <f t="array" ref="B60">FGivenP($C$3,$A60)</f>
        <v>25.339481873867406</v>
      </c>
      <c r="C60" s="6" cm="1">
        <f t="array" ref="C60">PGivenF($C$3,$A60)</f>
        <v>3.9464106053064149E-2</v>
      </c>
      <c r="D60" s="6" cm="1">
        <f t="array" ref="D60">AGivenF($C$3,$A60)</f>
        <v>3.2868407147932624E-3</v>
      </c>
      <c r="E60" s="6" cm="1">
        <f t="array" ref="E60">FGivenA($C$3,$A60)</f>
        <v>304.24352342334259</v>
      </c>
      <c r="F60" s="6" cm="1">
        <f t="array" ref="F60">AGivenP($C$3,$A60)</f>
        <v>8.3286840714793267E-2</v>
      </c>
      <c r="G60" s="6" cm="1">
        <f t="array" ref="G60">PGivenA($C$3,$A60)</f>
        <v>12.006698674336699</v>
      </c>
      <c r="H60" s="6" cm="1">
        <f t="array" ref="H60">AGivenG($C$3,$A60)</f>
        <v>10.774408624733537</v>
      </c>
      <c r="J60" s="6" cm="1">
        <f t="array" ref="J60">GeoGradienT(C$3, $A60,C$5)</f>
        <v>169208.34163390409</v>
      </c>
      <c r="K60" s="6" cm="1">
        <f t="array" ref="K60">PGivenA($C$8,$A60)</f>
        <v>236891.67828746306</v>
      </c>
      <c r="L60" s="3">
        <f t="shared" si="2"/>
        <v>1.4</v>
      </c>
      <c r="M60" s="4">
        <f t="shared" si="3"/>
        <v>169208.34163390219</v>
      </c>
    </row>
    <row r="61" spans="1:13" x14ac:dyDescent="0.3">
      <c r="A61" s="1">
        <v>43</v>
      </c>
      <c r="B61" s="6" cm="1">
        <f t="array" ref="B61">FGivenP($C$3,$A61)</f>
        <v>27.366640423776801</v>
      </c>
      <c r="C61" s="6" cm="1">
        <f t="array" ref="C61">PGivenF($C$3,$A61)</f>
        <v>3.654083893802236E-2</v>
      </c>
      <c r="D61" s="6" cm="1">
        <f t="array" ref="D61">AGivenF($C$3,$A61)</f>
        <v>3.0341370274787807E-3</v>
      </c>
      <c r="E61" s="6" cm="1">
        <f t="array" ref="E61">FGivenA($C$3,$A61)</f>
        <v>329.58300529720998</v>
      </c>
      <c r="F61" s="6" cm="1">
        <f t="array" ref="F61">AGivenP($C$3,$A61)</f>
        <v>8.3034137027478777E-2</v>
      </c>
      <c r="G61" s="6" cm="1">
        <f t="array" ref="G61">PGivenA($C$3,$A61)</f>
        <v>12.04323951327472</v>
      </c>
      <c r="H61" s="6" cm="1">
        <f t="array" ref="H61">AGivenG($C$3,$A61)</f>
        <v>10.869151347730154</v>
      </c>
      <c r="J61" s="6" cm="1">
        <f t="array" ref="J61">GeoGradienT(C$3, $A61,C$5)</f>
        <v>219345.07248839422</v>
      </c>
      <c r="K61" s="6" cm="1">
        <f t="array" ref="K61">PGivenA($C$8,$A61)</f>
        <v>307083.10148374835</v>
      </c>
      <c r="L61" s="3">
        <f t="shared" si="2"/>
        <v>1.4</v>
      </c>
      <c r="M61" s="4">
        <f t="shared" si="3"/>
        <v>219345.07248839168</v>
      </c>
    </row>
    <row r="62" spans="1:13" x14ac:dyDescent="0.3">
      <c r="A62" s="1">
        <v>44</v>
      </c>
      <c r="B62" s="6" cm="1">
        <f t="array" ref="B62">FGivenP($C$3,$A62)</f>
        <v>29.555971657678949</v>
      </c>
      <c r="C62" s="6" cm="1">
        <f t="array" ref="C62">PGivenF($C$3,$A62)</f>
        <v>3.3834110127798474E-2</v>
      </c>
      <c r="D62" s="6" cm="1">
        <f t="array" ref="D62">AGivenF($C$3,$A62)</f>
        <v>2.8015155974735429E-3</v>
      </c>
      <c r="E62" s="6" cm="1">
        <f t="array" ref="E62">FGivenA($C$3,$A62)</f>
        <v>356.94964572098684</v>
      </c>
      <c r="F62" s="6" cm="1">
        <f t="array" ref="F62">AGivenP($C$3,$A62)</f>
        <v>8.2801515597473549E-2</v>
      </c>
      <c r="G62" s="6" cm="1">
        <f t="array" ref="G62">PGivenA($C$3,$A62)</f>
        <v>12.077073623402519</v>
      </c>
      <c r="H62" s="6" cm="1">
        <f t="array" ref="H62">AGivenG($C$3,$A62)</f>
        <v>10.959166421389551</v>
      </c>
      <c r="J62" s="6" cm="1">
        <f t="array" ref="J62">GeoGradienT(C$3, $A62,C$5)</f>
        <v>284337.131003474</v>
      </c>
      <c r="K62" s="6" cm="1">
        <f t="array" ref="K62">PGivenA($C$8,$A62)</f>
        <v>398071.98340485891</v>
      </c>
      <c r="L62" s="3">
        <f t="shared" si="2"/>
        <v>1.4</v>
      </c>
      <c r="M62" s="4">
        <f t="shared" si="3"/>
        <v>284337.13100347068</v>
      </c>
    </row>
    <row r="63" spans="1:13" x14ac:dyDescent="0.3">
      <c r="A63" s="1">
        <v>45</v>
      </c>
      <c r="B63" s="6" cm="1">
        <f t="array" ref="B63">FGivenP($C$3,$A63)</f>
        <v>31.920449390293264</v>
      </c>
      <c r="C63" s="6" cm="1">
        <f t="array" ref="C63">PGivenF($C$3,$A63)</f>
        <v>3.132787974796155E-2</v>
      </c>
      <c r="D63" s="6" cm="1">
        <f t="array" ref="D63">AGivenF($C$3,$A63)</f>
        <v>2.5872845180935208E-3</v>
      </c>
      <c r="E63" s="6" cm="1">
        <f t="array" ref="E63">FGivenA($C$3,$A63)</f>
        <v>386.50561737866582</v>
      </c>
      <c r="F63" s="6" cm="1">
        <f t="array" ref="F63">AGivenP($C$3,$A63)</f>
        <v>8.2587284518093523E-2</v>
      </c>
      <c r="G63" s="6" cm="1">
        <f t="array" ref="G63">PGivenA($C$3,$A63)</f>
        <v>12.10840150315048</v>
      </c>
      <c r="H63" s="6" cm="1">
        <f t="array" ref="H63">AGivenG($C$3,$A63)</f>
        <v>11.044652458572394</v>
      </c>
      <c r="J63" s="6" cm="1">
        <f t="array" ref="J63">GeoGradienT(C$3, $A63,C$5)</f>
        <v>368586.09574524418</v>
      </c>
      <c r="K63" s="6" cm="1">
        <f t="array" ref="K63">PGivenA($C$8,$A63)</f>
        <v>516020.53404333553</v>
      </c>
      <c r="L63" s="3">
        <f t="shared" si="2"/>
        <v>1.4</v>
      </c>
      <c r="M63" s="4">
        <f t="shared" si="3"/>
        <v>368586.0957452397</v>
      </c>
    </row>
    <row r="64" spans="1:13" x14ac:dyDescent="0.3">
      <c r="A64" s="1">
        <v>46</v>
      </c>
      <c r="B64" s="6" cm="1">
        <f t="array" ref="B64">FGivenP($C$3,$A64)</f>
        <v>34.474085341516727</v>
      </c>
      <c r="C64" s="6" cm="1">
        <f t="array" ref="C64">PGivenF($C$3,$A64)</f>
        <v>2.900729606292736E-2</v>
      </c>
      <c r="D64" s="6" cm="1">
        <f t="array" ref="D64">AGivenF($C$3,$A64)</f>
        <v>2.3899084675146846E-3</v>
      </c>
      <c r="E64" s="6" cm="1">
        <f t="array" ref="E64">FGivenA($C$3,$A64)</f>
        <v>418.42606676895906</v>
      </c>
      <c r="F64" s="6" cm="1">
        <f t="array" ref="F64">AGivenP($C$3,$A64)</f>
        <v>8.2389908467514691E-2</v>
      </c>
      <c r="G64" s="6" cm="1">
        <f t="array" ref="G64">PGivenA($C$3,$A64)</f>
        <v>12.137408799213407</v>
      </c>
      <c r="H64" s="6" cm="1">
        <f t="array" ref="H64">AGivenG($C$3,$A64)</f>
        <v>11.125802631179056</v>
      </c>
      <c r="J64" s="6" cm="1">
        <f t="array" ref="J64">GeoGradienT(C$3, $A64,C$5)</f>
        <v>477797.716706798</v>
      </c>
      <c r="K64" s="6" cm="1">
        <f t="array" ref="K64">PGivenA($C$8,$A64)</f>
        <v>668916.80338950886</v>
      </c>
      <c r="L64" s="3">
        <f t="shared" si="2"/>
        <v>1.4</v>
      </c>
      <c r="M64" s="4">
        <f t="shared" si="3"/>
        <v>477797.71670679207</v>
      </c>
    </row>
    <row r="65" spans="1:13" x14ac:dyDescent="0.3">
      <c r="A65" s="1">
        <v>47</v>
      </c>
      <c r="B65" s="6" cm="1">
        <f t="array" ref="B65">FGivenP($C$3,$A65)</f>
        <v>37.232012168838068</v>
      </c>
      <c r="C65" s="6" cm="1">
        <f t="array" ref="C65">PGivenF($C$3,$A65)</f>
        <v>2.6858607465673479E-2</v>
      </c>
      <c r="D65" s="6" cm="1">
        <f t="array" ref="D65">AGivenF($C$3,$A65)</f>
        <v>2.2079921928488781E-3</v>
      </c>
      <c r="E65" s="6" cm="1">
        <f t="array" ref="E65">FGivenA($C$3,$A65)</f>
        <v>452.90015211047586</v>
      </c>
      <c r="F65" s="6" cm="1">
        <f t="array" ref="F65">AGivenP($C$3,$A65)</f>
        <v>8.2207992192848883E-2</v>
      </c>
      <c r="G65" s="6" cm="1">
        <f t="array" ref="G65">PGivenA($C$3,$A65)</f>
        <v>12.164267406679082</v>
      </c>
      <c r="H65" s="6" cm="1">
        <f t="array" ref="H65">AGivenG($C$3,$A65)</f>
        <v>11.202804586701284</v>
      </c>
      <c r="J65" s="6" cm="1">
        <f t="array" ref="J65">GeoGradienT(C$3, $A65,C$5)</f>
        <v>619368.33647177531</v>
      </c>
      <c r="K65" s="6" cm="1">
        <f t="array" ref="K65">PGivenA($C$8,$A65)</f>
        <v>867115.67106047424</v>
      </c>
      <c r="L65" s="3">
        <f t="shared" si="2"/>
        <v>1.4</v>
      </c>
      <c r="M65" s="4">
        <f t="shared" si="3"/>
        <v>619368.3364717674</v>
      </c>
    </row>
    <row r="66" spans="1:13" x14ac:dyDescent="0.3">
      <c r="A66" s="1">
        <v>48</v>
      </c>
      <c r="B66" s="6" cm="1">
        <f t="array" ref="B66">FGivenP($C$3,$A66)</f>
        <v>40.210573142345119</v>
      </c>
      <c r="C66" s="6" cm="1">
        <f t="array" ref="C66">PGivenF($C$3,$A66)</f>
        <v>2.4869080986734699E-2</v>
      </c>
      <c r="D66" s="6" cm="1">
        <f t="array" ref="D66">AGivenF($C$3,$A66)</f>
        <v>2.0402660198201666E-3</v>
      </c>
      <c r="E66" s="6" cm="1">
        <f t="array" ref="E66">FGivenA($C$3,$A66)</f>
        <v>490.132164279314</v>
      </c>
      <c r="F66" s="6" cm="1">
        <f t="array" ref="F66">AGivenP($C$3,$A66)</f>
        <v>8.2040266019820174E-2</v>
      </c>
      <c r="G66" s="6" cm="1">
        <f t="array" ref="G66">PGivenA($C$3,$A66)</f>
        <v>12.189136487665817</v>
      </c>
      <c r="H66" s="6" cm="1">
        <f t="array" ref="H66">AGivenG($C$3,$A66)</f>
        <v>11.2758403881079</v>
      </c>
      <c r="J66" s="6" cm="1">
        <f t="array" ref="J66">GeoGradienT(C$3, $A66,C$5)</f>
        <v>802885.80653748661</v>
      </c>
      <c r="K66" s="6" cm="1">
        <f t="array" ref="K66">PGivenA($C$8,$A66)</f>
        <v>1124040.1291524665</v>
      </c>
      <c r="L66" s="3">
        <f t="shared" si="2"/>
        <v>1.4</v>
      </c>
      <c r="M66" s="4">
        <f t="shared" si="3"/>
        <v>802885.80653747614</v>
      </c>
    </row>
    <row r="67" spans="1:13" x14ac:dyDescent="0.3">
      <c r="A67" s="1">
        <v>49</v>
      </c>
      <c r="B67" s="6" cm="1">
        <f t="array" ref="B67">FGivenP($C$3,$A67)</f>
        <v>43.427418993732729</v>
      </c>
      <c r="C67" s="6" cm="1">
        <f t="array" ref="C67">PGivenF($C$3,$A67)</f>
        <v>2.3026926839569167E-2</v>
      </c>
      <c r="D67" s="6" cm="1">
        <f t="array" ref="D67">AGivenF($C$3,$A67)</f>
        <v>1.8855731010132245E-3</v>
      </c>
      <c r="E67" s="6" cm="1">
        <f t="array" ref="E67">FGivenA($C$3,$A67)</f>
        <v>530.34273742165908</v>
      </c>
      <c r="F67" s="6" cm="1">
        <f t="array" ref="F67">AGivenP($C$3,$A67)</f>
        <v>8.1885573101013229E-2</v>
      </c>
      <c r="G67" s="6" cm="1">
        <f t="array" ref="G67">PGivenA($C$3,$A67)</f>
        <v>12.212163414505385</v>
      </c>
      <c r="H67" s="6" cm="1">
        <f t="array" ref="H67">AGivenG($C$3,$A67)</f>
        <v>11.345086475629399</v>
      </c>
      <c r="I67" s="4"/>
      <c r="J67" s="6" cm="1">
        <f t="array" ref="J67">GeoGradienT(C$3, $A67,C$5)</f>
        <v>1040778.8232893345</v>
      </c>
      <c r="K67" s="6" cm="1">
        <f t="array" ref="K67">PGivenA($C$8,$A67)</f>
        <v>1457090.352605049</v>
      </c>
      <c r="L67" s="4">
        <f t="shared" si="2"/>
        <v>1.4</v>
      </c>
      <c r="M67" s="4">
        <f t="shared" si="3"/>
        <v>1040778.8232893208</v>
      </c>
    </row>
    <row r="68" spans="1:13" x14ac:dyDescent="0.3">
      <c r="A68" s="1">
        <v>50</v>
      </c>
      <c r="B68" s="6" cm="1">
        <f t="array" ref="B68">FGivenP($C$3,$A68)</f>
        <v>46.901612513231349</v>
      </c>
      <c r="C68" s="6" cm="1">
        <f t="array" ref="C68">PGivenF($C$3,$A68)</f>
        <v>2.1321228555156634E-2</v>
      </c>
      <c r="D68" s="6" cm="1">
        <f t="array" ref="D68">AGivenF($C$3,$A68)</f>
        <v>1.7428581616155563E-3</v>
      </c>
      <c r="E68" s="6" cm="1">
        <f t="array" ref="E68">FGivenA($C$3,$A68)</f>
        <v>573.77015641539185</v>
      </c>
      <c r="F68" s="6" cm="1">
        <f t="array" ref="F68">AGivenP($C$3,$A68)</f>
        <v>8.1742858161615556E-2</v>
      </c>
      <c r="G68" s="6" cm="1">
        <f t="array" ref="G68">PGivenA($C$3,$A68)</f>
        <v>12.233484643060542</v>
      </c>
      <c r="H68" s="6" cm="1">
        <f t="array" ref="H68">AGivenG($C$3,$A68)</f>
        <v>11.410713648990278</v>
      </c>
      <c r="I68" s="4"/>
      <c r="J68" s="6" cm="1">
        <f t="array" ref="J68">GeoGradienT(C$3, $A68,C$5)</f>
        <v>1349158.659819508</v>
      </c>
      <c r="K68" s="6" cm="1">
        <f t="array" ref="K68">PGivenA($C$8,$A68)</f>
        <v>1888822.1237472852</v>
      </c>
      <c r="L68" s="4">
        <f t="shared" ref="L68:L118" si="4">(1+C$5)</f>
        <v>1.4</v>
      </c>
      <c r="M68" s="4">
        <f t="shared" ref="M68:M118" si="5">K68/L68</f>
        <v>1349158.6598194896</v>
      </c>
    </row>
    <row r="69" spans="1:13" x14ac:dyDescent="0.3">
      <c r="A69" s="1">
        <v>51</v>
      </c>
      <c r="B69" s="6" cm="1">
        <f t="array" ref="B69">FGivenP($C$3,$A69)</f>
        <v>50.653741514289862</v>
      </c>
      <c r="C69" s="6" cm="1">
        <f t="array" ref="C69">PGivenF($C$3,$A69)</f>
        <v>1.9741878291811697E-2</v>
      </c>
      <c r="D69" s="6" cm="1">
        <f t="array" ref="D69">AGivenF($C$3,$A69)</f>
        <v>1.6111575393966391E-3</v>
      </c>
      <c r="E69" s="6" cm="1">
        <f t="array" ref="E69">FGivenA($C$3,$A69)</f>
        <v>620.67176892862324</v>
      </c>
      <c r="F69" s="6" cm="1">
        <f t="array" ref="F69">AGivenP($C$3,$A69)</f>
        <v>8.1611157539396642E-2</v>
      </c>
      <c r="G69" s="6" cm="1">
        <f t="array" ref="G69">PGivenA($C$3,$A69)</f>
        <v>12.253226521352353</v>
      </c>
      <c r="H69" s="6" cm="1">
        <f t="array" ref="H69">AGivenG($C$3,$A69)</f>
        <v>11.472887068634643</v>
      </c>
      <c r="I69" s="4"/>
      <c r="J69" s="6" cm="1">
        <f t="array" ref="J69">GeoGradienT(C$3, $A69,C$5)</f>
        <v>1748910.299766029</v>
      </c>
      <c r="K69" s="6" cm="1">
        <f t="array" ref="K69">PGivenA($C$8,$A69)</f>
        <v>2448474.4196724063</v>
      </c>
      <c r="L69" s="4">
        <f t="shared" si="4"/>
        <v>1.4</v>
      </c>
      <c r="M69" s="4">
        <f t="shared" si="5"/>
        <v>1748910.2997660046</v>
      </c>
    </row>
    <row r="70" spans="1:13" x14ac:dyDescent="0.3">
      <c r="A70" s="1">
        <v>52</v>
      </c>
      <c r="B70" s="6" cm="1">
        <f t="array" ref="B70">FGivenP($C$3,$A70)</f>
        <v>54.706040835433058</v>
      </c>
      <c r="C70" s="6" cm="1">
        <f t="array" ref="C70">PGivenF($C$3,$A70)</f>
        <v>1.827951693686268E-2</v>
      </c>
      <c r="D70" s="6" cm="1">
        <f t="array" ref="D70">AGivenF($C$3,$A70)</f>
        <v>1.48959034692461E-3</v>
      </c>
      <c r="E70" s="6" cm="1">
        <f t="array" ref="E70">FGivenA($C$3,$A70)</f>
        <v>671.32551044291324</v>
      </c>
      <c r="F70" s="6" cm="1">
        <f t="array" ref="F70">AGivenP($C$3,$A70)</f>
        <v>8.1489590346924615E-2</v>
      </c>
      <c r="G70" s="6" cm="1">
        <f t="array" ref="G70">PGivenA($C$3,$A70)</f>
        <v>12.271506038289216</v>
      </c>
      <c r="H70" s="6" cm="1">
        <f t="array" ref="H70">AGivenG($C$3,$A70)</f>
        <v>11.531766274499002</v>
      </c>
      <c r="I70" s="4"/>
      <c r="J70" s="6" cm="1">
        <f t="array" ref="J70">GeoGradienT(C$3, $A70,C$5)</f>
        <v>2267106.8700670744</v>
      </c>
      <c r="K70" s="6" cm="1">
        <f t="array" ref="K70">PGivenA($C$8,$A70)</f>
        <v>3173949.6180938594</v>
      </c>
      <c r="L70" s="4">
        <f t="shared" si="4"/>
        <v>1.4</v>
      </c>
      <c r="M70" s="4">
        <f t="shared" si="5"/>
        <v>2267106.8700670428</v>
      </c>
    </row>
    <row r="71" spans="1:13" x14ac:dyDescent="0.3">
      <c r="A71" s="1">
        <v>53</v>
      </c>
      <c r="B71" s="6" cm="1">
        <f t="array" ref="B71">FGivenP($C$3,$A71)</f>
        <v>59.082524102267705</v>
      </c>
      <c r="C71" s="6" cm="1">
        <f t="array" ref="C71">PGivenF($C$3,$A71)</f>
        <v>1.6925478645243221E-2</v>
      </c>
      <c r="D71" s="6" cm="1">
        <f t="array" ref="D71">AGivenF($C$3,$A71)</f>
        <v>1.3773506099552684E-3</v>
      </c>
      <c r="E71" s="6" cm="1">
        <f t="array" ref="E71">FGivenA($C$3,$A71)</f>
        <v>726.03155127834634</v>
      </c>
      <c r="F71" s="6" cm="1">
        <f t="array" ref="F71">AGivenP($C$3,$A71)</f>
        <v>8.1377350609955268E-2</v>
      </c>
      <c r="G71" s="6" cm="1">
        <f t="array" ref="G71">PGivenA($C$3,$A71)</f>
        <v>12.288431516934459</v>
      </c>
      <c r="H71" s="6" cm="1">
        <f t="array" ref="H71">AGivenG($C$3,$A71)</f>
        <v>11.587505220904635</v>
      </c>
      <c r="I71" s="4"/>
      <c r="J71" s="6" cm="1">
        <f t="array" ref="J71">GeoGradienT(C$3, $A71,C$5)</f>
        <v>2938843.1649017641</v>
      </c>
      <c r="K71" s="6" cm="1">
        <f t="array" ref="K71">PGivenA($C$8,$A71)</f>
        <v>4114380.4308624095</v>
      </c>
      <c r="L71" s="4">
        <f t="shared" si="4"/>
        <v>1.4</v>
      </c>
      <c r="M71" s="4">
        <f t="shared" si="5"/>
        <v>2938843.1649017213</v>
      </c>
    </row>
    <row r="72" spans="1:13" x14ac:dyDescent="0.3">
      <c r="A72" s="1">
        <v>54</v>
      </c>
      <c r="B72" s="6" cm="1">
        <f t="array" ref="B72">FGivenP($C$3,$A72)</f>
        <v>63.809126030449129</v>
      </c>
      <c r="C72" s="6" cm="1">
        <f t="array" ref="C72">PGivenF($C$3,$A72)</f>
        <v>1.5671739486336315E-2</v>
      </c>
      <c r="D72" s="6" cm="1">
        <f t="array" ref="D72">AGivenF($C$3,$A72)</f>
        <v>1.2737002575265407E-3</v>
      </c>
      <c r="E72" s="6" cm="1">
        <f t="array" ref="E72">FGivenA($C$3,$A72)</f>
        <v>785.11407538061405</v>
      </c>
      <c r="F72" s="6" cm="1">
        <f t="array" ref="F72">AGivenP($C$3,$A72)</f>
        <v>8.1273700257526546E-2</v>
      </c>
      <c r="G72" s="6" cm="1">
        <f t="array" ref="G72">PGivenA($C$3,$A72)</f>
        <v>12.304103256420795</v>
      </c>
      <c r="H72" s="6" cm="1">
        <f t="array" ref="H72">AGivenG($C$3,$A72)</f>
        <v>11.640252326169584</v>
      </c>
      <c r="I72" s="4"/>
      <c r="J72" s="6" cm="1">
        <f t="array" ref="J72">GeoGradienT(C$3, $A72,C$5)</f>
        <v>3809612.4359837687</v>
      </c>
      <c r="K72" s="6" cm="1">
        <f t="array" ref="K72">PGivenA($C$8,$A72)</f>
        <v>5333457.410377197</v>
      </c>
      <c r="L72" s="4">
        <f t="shared" si="4"/>
        <v>1.4</v>
      </c>
      <c r="M72" s="4">
        <f t="shared" si="5"/>
        <v>3809612.4359837123</v>
      </c>
    </row>
    <row r="73" spans="1:13" x14ac:dyDescent="0.3">
      <c r="A73" s="1">
        <v>55</v>
      </c>
      <c r="B73" s="6" cm="1">
        <f t="array" ref="B73">FGivenP($C$3,$A73)</f>
        <v>68.913856112885057</v>
      </c>
      <c r="C73" s="6" cm="1">
        <f t="array" ref="C73">PGivenF($C$3,$A73)</f>
        <v>1.4510869894755847E-2</v>
      </c>
      <c r="D73" s="6" cm="1">
        <f t="array" ref="D73">AGivenF($C$3,$A73)</f>
        <v>1.1779628573442449E-3</v>
      </c>
      <c r="E73" s="6" cm="1">
        <f t="array" ref="E73">FGivenA($C$3,$A73)</f>
        <v>848.92320141106325</v>
      </c>
      <c r="F73" s="6" cm="1">
        <f t="array" ref="F73">AGivenP($C$3,$A73)</f>
        <v>8.1177962857344244E-2</v>
      </c>
      <c r="G73" s="6" cm="1">
        <f t="array" ref="G73">PGivenA($C$3,$A73)</f>
        <v>12.318614126315552</v>
      </c>
      <c r="H73" s="6" cm="1">
        <f t="array" ref="H73">AGivenG($C$3,$A73)</f>
        <v>11.690150535575832</v>
      </c>
      <c r="I73" s="4"/>
      <c r="J73" s="6" cm="1">
        <f t="array" ref="J73">GeoGradienT(C$3, $A73,C$5)</f>
        <v>4938387.4170159958</v>
      </c>
      <c r="K73" s="6" cm="1">
        <f t="array" ref="K73">PGivenA($C$8,$A73)</f>
        <v>6913742.3838222912</v>
      </c>
      <c r="L73" s="4">
        <f t="shared" si="4"/>
        <v>1.4</v>
      </c>
      <c r="M73" s="4">
        <f t="shared" si="5"/>
        <v>4938387.4170159223</v>
      </c>
    </row>
    <row r="74" spans="1:13" x14ac:dyDescent="0.3">
      <c r="A74" s="1">
        <v>56</v>
      </c>
      <c r="B74" s="6" cm="1">
        <f t="array" ref="B74">FGivenP($C$3,$A74)</f>
        <v>74.42696460191587</v>
      </c>
      <c r="C74" s="6" cm="1">
        <f t="array" ref="C74">PGivenF($C$3,$A74)</f>
        <v>1.3435990643292451E-2</v>
      </c>
      <c r="D74" s="6" cm="1">
        <f t="array" ref="D74">AGivenF($C$3,$A74)</f>
        <v>1.0895180051867842E-3</v>
      </c>
      <c r="E74" s="6" cm="1">
        <f t="array" ref="E74">FGivenA($C$3,$A74)</f>
        <v>917.83705752394837</v>
      </c>
      <c r="F74" s="6" cm="1">
        <f t="array" ref="F74">AGivenP($C$3,$A74)</f>
        <v>8.1089518005186781E-2</v>
      </c>
      <c r="G74" s="6" cm="1">
        <f t="array" ref="G74">PGivenA($C$3,$A74)</f>
        <v>12.332050116958843</v>
      </c>
      <c r="H74" s="6" cm="1">
        <f t="array" ref="H74">AGivenG($C$3,$A74)</f>
        <v>11.73733739636925</v>
      </c>
      <c r="I74" s="4"/>
      <c r="J74" s="6" cm="1">
        <f t="array" ref="J74">GeoGradienT(C$3, $A74,C$5)</f>
        <v>6401614.2442799956</v>
      </c>
      <c r="K74" s="6" cm="1">
        <f t="array" ref="K74">PGivenA($C$8,$A74)</f>
        <v>8962259.9419918582</v>
      </c>
      <c r="L74" s="4">
        <f t="shared" si="4"/>
        <v>1.4</v>
      </c>
      <c r="M74" s="4">
        <f t="shared" si="5"/>
        <v>6401614.2442798987</v>
      </c>
    </row>
    <row r="75" spans="1:13" x14ac:dyDescent="0.3">
      <c r="A75" s="1">
        <v>57</v>
      </c>
      <c r="B75" s="6" cm="1">
        <f t="array" ref="B75">FGivenP($C$3,$A75)</f>
        <v>80.381121770069143</v>
      </c>
      <c r="C75" s="6" cm="1">
        <f t="array" ref="C75">PGivenF($C$3,$A75)</f>
        <v>1.2440732077122638E-2</v>
      </c>
      <c r="D75" s="6" cm="1">
        <f t="array" ref="D75">AGivenF($C$3,$A75)</f>
        <v>1.0077962897995251E-3</v>
      </c>
      <c r="E75" s="6" cm="1">
        <f t="array" ref="E75">FGivenA($C$3,$A75)</f>
        <v>992.26402212586424</v>
      </c>
      <c r="F75" s="6" cm="1">
        <f t="array" ref="F75">AGivenP($C$3,$A75)</f>
        <v>8.1007796289799525E-2</v>
      </c>
      <c r="G75" s="6" cm="1">
        <f t="array" ref="G75">PGivenA($C$3,$A75)</f>
        <v>12.344490849035967</v>
      </c>
      <c r="H75" s="6" cm="1">
        <f t="array" ref="H75">AGivenG($C$3,$A75)</f>
        <v>11.781945143517838</v>
      </c>
      <c r="I75" s="4"/>
      <c r="J75" s="6" cm="1">
        <f t="array" ref="J75">GeoGradienT(C$3, $A75,C$5)</f>
        <v>8298389.761103699</v>
      </c>
      <c r="K75" s="6" cm="1">
        <f t="array" ref="K75">PGivenA($C$8,$A75)</f>
        <v>11617745.665544998</v>
      </c>
      <c r="L75" s="4">
        <f t="shared" si="4"/>
        <v>1.4</v>
      </c>
      <c r="M75" s="4">
        <f t="shared" si="5"/>
        <v>8298389.7611035705</v>
      </c>
    </row>
    <row r="76" spans="1:13" x14ac:dyDescent="0.3">
      <c r="A76" s="1">
        <v>58</v>
      </c>
      <c r="B76" s="6" cm="1">
        <f t="array" ref="B76">FGivenP($C$3,$A76)</f>
        <v>86.811611511674684</v>
      </c>
      <c r="C76" s="6" cm="1">
        <f t="array" ref="C76">PGivenF($C$3,$A76)</f>
        <v>1.1519196367706146E-2</v>
      </c>
      <c r="D76" s="6" cm="1">
        <f t="array" ref="D76">AGivenF($C$3,$A76)</f>
        <v>9.3227476550904751E-4</v>
      </c>
      <c r="E76" s="6" cm="1">
        <f t="array" ref="E76">FGivenA($C$3,$A76)</f>
        <v>1072.6451438959334</v>
      </c>
      <c r="F76" s="6" cm="1">
        <f t="array" ref="F76">AGivenP($C$3,$A76)</f>
        <v>8.0932274765509044E-2</v>
      </c>
      <c r="G76" s="6" cm="1">
        <f t="array" ref="G76">PGivenA($C$3,$A76)</f>
        <v>12.356010045403673</v>
      </c>
      <c r="H76" s="6" cm="1">
        <f t="array" ref="H76">AGivenG($C$3,$A76)</f>
        <v>11.82410079500594</v>
      </c>
      <c r="I76" s="4"/>
      <c r="J76" s="6" cm="1">
        <f t="array" ref="J76">GeoGradienT(C$3, $A76,C$5)</f>
        <v>10757172.838467758</v>
      </c>
      <c r="K76" s="6" cm="1">
        <f t="array" ref="K76">PGivenA($C$8,$A76)</f>
        <v>15060041.97385462</v>
      </c>
      <c r="L76" s="4">
        <f t="shared" si="4"/>
        <v>1.4</v>
      </c>
      <c r="M76" s="4">
        <f t="shared" si="5"/>
        <v>10757172.838467587</v>
      </c>
    </row>
    <row r="77" spans="1:13" x14ac:dyDescent="0.3">
      <c r="A77" s="1">
        <v>59</v>
      </c>
      <c r="B77" s="6" cm="1">
        <f t="array" ref="B77">FGivenP($C$3,$A77)</f>
        <v>93.756540432608659</v>
      </c>
      <c r="C77" s="6" cm="1">
        <f t="array" ref="C77">PGivenF($C$3,$A77)</f>
        <v>1.0665922562690874E-2</v>
      </c>
      <c r="D77" s="6" cm="1">
        <f t="array" ref="D77">AGivenF($C$3,$A77)</f>
        <v>8.6247287390071653E-4</v>
      </c>
      <c r="E77" s="6" cm="1">
        <f t="array" ref="E77">FGivenA($C$3,$A77)</f>
        <v>1159.4567554076082</v>
      </c>
      <c r="F77" s="6" cm="1">
        <f t="array" ref="F77">AGivenP($C$3,$A77)</f>
        <v>8.086247287390072E-2</v>
      </c>
      <c r="G77" s="6" cm="1">
        <f t="array" ref="G77">PGivenA($C$3,$A77)</f>
        <v>12.366675967966364</v>
      </c>
      <c r="H77" s="6" cm="1">
        <f t="array" ref="H77">AGivenG($C$3,$A77)</f>
        <v>11.863926255498221</v>
      </c>
      <c r="I77" s="4"/>
      <c r="J77" s="6" cm="1">
        <f t="array" ref="J77">GeoGradienT(C$3, $A77,C$5)</f>
        <v>13944484.235050801</v>
      </c>
      <c r="K77" s="6" cm="1">
        <f t="array" ref="K77">PGivenA($C$8,$A77)</f>
        <v>19522277.929070804</v>
      </c>
      <c r="L77" s="4">
        <f t="shared" si="4"/>
        <v>1.4</v>
      </c>
      <c r="M77" s="4">
        <f t="shared" si="5"/>
        <v>13944484.235050576</v>
      </c>
    </row>
    <row r="78" spans="1:13" x14ac:dyDescent="0.3">
      <c r="A78" s="1">
        <v>60</v>
      </c>
      <c r="B78" s="6" cm="1">
        <f t="array" ref="B78">FGivenP($C$3,$A78)</f>
        <v>101.25706366721737</v>
      </c>
      <c r="C78" s="6" cm="1">
        <f t="array" ref="C78">PGivenF($C$3,$A78)</f>
        <v>9.8758542247137718E-3</v>
      </c>
      <c r="D78" s="6" cm="1">
        <f t="array" ref="D78">AGivenF($C$3,$A78)</f>
        <v>7.9794876364565684E-4</v>
      </c>
      <c r="E78" s="6" cm="1">
        <f t="array" ref="E78">FGivenA($C$3,$A78)</f>
        <v>1253.2132958402171</v>
      </c>
      <c r="F78" s="6" cm="1">
        <f t="array" ref="F78">AGivenP($C$3,$A78)</f>
        <v>8.0797948763645655E-2</v>
      </c>
      <c r="G78" s="6" cm="1">
        <f t="array" ref="G78">PGivenA($C$3,$A78)</f>
        <v>12.376551822191077</v>
      </c>
      <c r="H78" s="6" cm="1">
        <f t="array" ref="H78">AGivenG($C$3,$A78)</f>
        <v>11.901538427265757</v>
      </c>
      <c r="I78" s="4"/>
      <c r="J78" s="6" cm="1">
        <f t="array" ref="J78">GeoGradienT(C$3, $A78,C$5)</f>
        <v>18076184.193584371</v>
      </c>
      <c r="K78" s="6" cm="1">
        <f t="array" ref="K78">PGivenA($C$8,$A78)</f>
        <v>25306657.871017702</v>
      </c>
      <c r="L78" s="4">
        <f t="shared" si="4"/>
        <v>1.4</v>
      </c>
      <c r="M78" s="4">
        <f t="shared" si="5"/>
        <v>18076184.193584073</v>
      </c>
    </row>
    <row r="79" spans="1:13" x14ac:dyDescent="0.3">
      <c r="A79" s="1">
        <v>61</v>
      </c>
      <c r="B79" s="6" cm="1">
        <f t="array" ref="B79">FGivenP($C$3,$A79)</f>
        <v>109.35762876059476</v>
      </c>
      <c r="C79" s="6" cm="1">
        <f t="array" ref="C79">PGivenF($C$3,$A79)</f>
        <v>9.1443094673275653E-3</v>
      </c>
      <c r="D79" s="6" cm="1">
        <f t="array" ref="D79">AGivenF($C$3,$A79)</f>
        <v>7.3829596416097223E-4</v>
      </c>
      <c r="E79" s="6" cm="1">
        <f t="array" ref="E79">FGivenA($C$3,$A79)</f>
        <v>1354.4703595074345</v>
      </c>
      <c r="F79" s="6" cm="1">
        <f t="array" ref="F79">AGivenP($C$3,$A79)</f>
        <v>8.0738295964160975E-2</v>
      </c>
      <c r="G79" s="6" cm="1">
        <f t="array" ref="G79">PGivenA($C$3,$A79)</f>
        <v>12.385696131658404</v>
      </c>
      <c r="H79" s="6" cm="1">
        <f t="array" ref="H79">AGivenG($C$3,$A79)</f>
        <v>11.937049327327259</v>
      </c>
      <c r="I79" s="4"/>
      <c r="J79" s="6" cm="1">
        <f t="array" ref="J79">GeoGradienT(C$3, $A79,C$5)</f>
        <v>23432091.547239006</v>
      </c>
      <c r="K79" s="6" cm="1">
        <f t="array" ref="K79">PGivenA($C$8,$A79)</f>
        <v>32804928.166134052</v>
      </c>
      <c r="L79" s="4">
        <f t="shared" si="4"/>
        <v>1.4</v>
      </c>
      <c r="M79" s="4">
        <f t="shared" si="5"/>
        <v>23432091.547238611</v>
      </c>
    </row>
    <row r="80" spans="1:13" x14ac:dyDescent="0.3">
      <c r="A80" s="1">
        <v>62</v>
      </c>
      <c r="B80" s="6" cm="1">
        <f t="array" ref="B80">FGivenP($C$3,$A80)</f>
        <v>118.10623906144235</v>
      </c>
      <c r="C80" s="6" cm="1">
        <f t="array" ref="C80">PGivenF($C$3,$A80)</f>
        <v>8.466953210488487E-3</v>
      </c>
      <c r="D80" s="6" cm="1">
        <f t="array" ref="D80">AGivenF($C$3,$A80)</f>
        <v>6.8314037442553555E-4</v>
      </c>
      <c r="E80" s="6" cm="1">
        <f t="array" ref="E80">FGivenA($C$3,$A80)</f>
        <v>1463.8279882680295</v>
      </c>
      <c r="F80" s="6" cm="1">
        <f t="array" ref="F80">AGivenP($C$3,$A80)</f>
        <v>8.0683140374425533E-2</v>
      </c>
      <c r="G80" s="6" cm="1">
        <f t="array" ref="G80">PGivenA($C$3,$A80)</f>
        <v>12.394163084868893</v>
      </c>
      <c r="H80" s="6" cm="1">
        <f t="array" ref="H80">AGivenG($C$3,$A80)</f>
        <v>11.970566209820209</v>
      </c>
      <c r="I80" s="4"/>
      <c r="J80" s="6" cm="1">
        <f t="array" ref="J80">GeoGradienT(C$3, $A80,C$5)</f>
        <v>30374934.413087595</v>
      </c>
      <c r="K80" s="6" cm="1">
        <f t="array" ref="K80">PGivenA($C$8,$A80)</f>
        <v>42524908.178321913</v>
      </c>
      <c r="L80" s="4">
        <f t="shared" si="4"/>
        <v>1.4</v>
      </c>
      <c r="M80" s="4">
        <f t="shared" si="5"/>
        <v>30374934.413087081</v>
      </c>
    </row>
    <row r="81" spans="1:13" x14ac:dyDescent="0.3">
      <c r="A81" s="1">
        <v>63</v>
      </c>
      <c r="B81" s="6" cm="1">
        <f t="array" ref="B81">FGivenP($C$3,$A81)</f>
        <v>127.55473818635774</v>
      </c>
      <c r="C81" s="6" cm="1">
        <f t="array" ref="C81">PGivenF($C$3,$A81)</f>
        <v>7.8397714911930434E-3</v>
      </c>
      <c r="D81" s="6" cm="1">
        <f t="array" ref="D81">AGivenF($C$3,$A81)</f>
        <v>6.3213753310600103E-4</v>
      </c>
      <c r="E81" s="6" cm="1">
        <f t="array" ref="E81">FGivenA($C$3,$A81)</f>
        <v>1581.9342273294717</v>
      </c>
      <c r="F81" s="6" cm="1">
        <f t="array" ref="F81">AGivenP($C$3,$A81)</f>
        <v>8.0632137533105996E-2</v>
      </c>
      <c r="G81" s="6" cm="1">
        <f t="array" ref="G81">PGivenA($C$3,$A81)</f>
        <v>12.402002856360086</v>
      </c>
      <c r="H81" s="6" cm="1">
        <f t="array" ref="H81">AGivenG($C$3,$A81)</f>
        <v>12.002191692679023</v>
      </c>
      <c r="I81" s="4"/>
      <c r="J81" s="6" cm="1">
        <f t="array" ref="J81">GeoGradienT(C$3, $A81,C$5)</f>
        <v>39374915.9058543</v>
      </c>
      <c r="K81" s="6" cm="1">
        <f t="array" ref="K81">PGivenA($C$8,$A81)</f>
        <v>55124882.268195063</v>
      </c>
      <c r="L81" s="4">
        <f t="shared" si="4"/>
        <v>1.4</v>
      </c>
      <c r="M81" s="4">
        <f t="shared" si="5"/>
        <v>39374915.905853622</v>
      </c>
    </row>
    <row r="82" spans="1:13" x14ac:dyDescent="0.3">
      <c r="A82" s="1">
        <v>64</v>
      </c>
      <c r="B82" s="6" cm="1">
        <f t="array" ref="B82">FGivenP($C$3,$A82)</f>
        <v>137.75911724126638</v>
      </c>
      <c r="C82" s="6" cm="1">
        <f t="array" ref="C82">PGivenF($C$3,$A82)</f>
        <v>7.2590476770305942E-3</v>
      </c>
      <c r="D82" s="6" cm="1">
        <f t="array" ref="D82">AGivenF($C$3,$A82)</f>
        <v>5.8497014030052833E-4</v>
      </c>
      <c r="E82" s="6" cm="1">
        <f t="array" ref="E82">FGivenA($C$3,$A82)</f>
        <v>1709.4889655158297</v>
      </c>
      <c r="F82" s="6" cm="1">
        <f t="array" ref="F82">AGivenP($C$3,$A82)</f>
        <v>8.0584970140300527E-2</v>
      </c>
      <c r="G82" s="6" cm="1">
        <f t="array" ref="G82">PGivenA($C$3,$A82)</f>
        <v>12.409261904037118</v>
      </c>
      <c r="H82" s="6" cm="1">
        <f t="array" ref="H82">AGivenG($C$3,$A82)</f>
        <v>12.032023887759577</v>
      </c>
      <c r="I82" s="4"/>
      <c r="J82" s="6" cm="1">
        <f t="array" ref="J82">GeoGradienT(C$3, $A82,C$5)</f>
        <v>51041558.581662983</v>
      </c>
      <c r="K82" s="6" cm="1">
        <f t="array" ref="K82">PGivenA($C$8,$A82)</f>
        <v>71458182.014326915</v>
      </c>
      <c r="L82" s="4">
        <f t="shared" si="4"/>
        <v>1.4</v>
      </c>
      <c r="M82" s="4">
        <f t="shared" si="5"/>
        <v>51041558.581662089</v>
      </c>
    </row>
    <row r="83" spans="1:13" x14ac:dyDescent="0.3">
      <c r="A83" s="1">
        <v>65</v>
      </c>
      <c r="B83" s="6" cm="1">
        <f t="array" ref="B83">FGivenP($C$3,$A83)</f>
        <v>148.7798466205677</v>
      </c>
      <c r="C83" s="6" cm="1">
        <f t="array" ref="C83">PGivenF($C$3,$A83)</f>
        <v>6.7213404416949941E-3</v>
      </c>
      <c r="D83" s="6" cm="1">
        <f t="array" ref="D83">AGivenF($C$3,$A83)</f>
        <v>5.4134580478625135E-4</v>
      </c>
      <c r="E83" s="6" cm="1">
        <f t="array" ref="E83">FGivenA($C$3,$A83)</f>
        <v>1847.2480827570962</v>
      </c>
      <c r="F83" s="6" cm="1">
        <f t="array" ref="F83">AGivenP($C$3,$A83)</f>
        <v>8.0541345804786252E-2</v>
      </c>
      <c r="G83" s="6" cm="1">
        <f t="array" ref="G83">PGivenA($C$3,$A83)</f>
        <v>12.415983244478813</v>
      </c>
      <c r="H83" s="6" cm="1">
        <f t="array" ref="H83">AGivenG($C$3,$A83)</f>
        <v>12.06015653361117</v>
      </c>
      <c r="I83" s="4"/>
      <c r="J83" s="6" cm="1">
        <f t="array" ref="J83">GeoGradienT(C$3, $A83,C$5)</f>
        <v>66164984.2725261</v>
      </c>
      <c r="K83" s="6" cm="1">
        <f t="array" ref="K83">PGivenA($C$8,$A83)</f>
        <v>92630977.981534883</v>
      </c>
      <c r="L83" s="4">
        <f t="shared" si="4"/>
        <v>1.4</v>
      </c>
      <c r="M83" s="4">
        <f t="shared" si="5"/>
        <v>66164984.272524923</v>
      </c>
    </row>
    <row r="84" spans="1:13" x14ac:dyDescent="0.3">
      <c r="A84" s="1">
        <v>66</v>
      </c>
      <c r="B84" s="6" cm="1">
        <f t="array" ref="B84">FGivenP($C$3,$A84)</f>
        <v>160.68223435021312</v>
      </c>
      <c r="C84" s="6" cm="1">
        <f t="array" ref="C84">PGivenF($C$3,$A84)</f>
        <v>6.2234633719398091E-3</v>
      </c>
      <c r="D84" s="6" cm="1">
        <f t="array" ref="D84">AGivenF($C$3,$A84)</f>
        <v>5.0099499374830255E-4</v>
      </c>
      <c r="E84" s="6" cm="1">
        <f t="array" ref="E84">FGivenA($C$3,$A84)</f>
        <v>1996.0279293776639</v>
      </c>
      <c r="F84" s="6" cm="1">
        <f t="array" ref="F84">AGivenP($C$3,$A84)</f>
        <v>8.0500994993748298E-2</v>
      </c>
      <c r="G84" s="6" cm="1">
        <f t="array" ref="G84">PGivenA($C$3,$A84)</f>
        <v>12.422206707850751</v>
      </c>
      <c r="H84" s="6" cm="1">
        <f t="array" ref="H84">AGivenG($C$3,$A84)</f>
        <v>12.08667913015765</v>
      </c>
      <c r="I84" s="4"/>
      <c r="J84" s="6" cm="1">
        <f t="array" ref="J84">GeoGradienT(C$3, $A84,C$5)</f>
        <v>85769424.982904211</v>
      </c>
      <c r="K84" s="6" cm="1">
        <f t="array" ref="K84">PGivenA($C$8,$A84)</f>
        <v>120077194.9760637</v>
      </c>
      <c r="L84" s="4">
        <f t="shared" si="4"/>
        <v>1.4</v>
      </c>
      <c r="M84" s="4">
        <f t="shared" si="5"/>
        <v>85769424.982902646</v>
      </c>
    </row>
    <row r="85" spans="1:13" x14ac:dyDescent="0.3">
      <c r="A85" s="1">
        <v>67</v>
      </c>
      <c r="B85" s="6" cm="1">
        <f t="array" ref="B85">FGivenP($C$3,$A85)</f>
        <v>173.53681309823017</v>
      </c>
      <c r="C85" s="6" cm="1">
        <f t="array" ref="C85">PGivenF($C$3,$A85)</f>
        <v>5.7624660851294529E-3</v>
      </c>
      <c r="D85" s="6" cm="1">
        <f t="array" ref="D85">AGivenF($C$3,$A85)</f>
        <v>4.6366916464635118E-4</v>
      </c>
      <c r="E85" s="6" cm="1">
        <f t="array" ref="E85">FGivenA($C$3,$A85)</f>
        <v>2156.710163727877</v>
      </c>
      <c r="F85" s="6" cm="1">
        <f t="array" ref="F85">AGivenP($C$3,$A85)</f>
        <v>8.0463669164646354E-2</v>
      </c>
      <c r="G85" s="6" cm="1">
        <f t="array" ref="G85">PGivenA($C$3,$A85)</f>
        <v>12.427969173935882</v>
      </c>
      <c r="H85" s="6" cm="1">
        <f t="array" ref="H85">AGivenG($C$3,$A85)</f>
        <v>12.11167707460868</v>
      </c>
      <c r="I85" s="4"/>
      <c r="J85" s="6" cm="1">
        <f t="array" ref="J85">GeoGradienT(C$3, $A85,C$5)</f>
        <v>111182588.86672771</v>
      </c>
      <c r="K85" s="6" cm="1">
        <f t="array" ref="K85">PGivenA($C$8,$A85)</f>
        <v>155655624.41341591</v>
      </c>
      <c r="L85" s="4">
        <f t="shared" si="4"/>
        <v>1.4</v>
      </c>
      <c r="M85" s="4">
        <f t="shared" si="5"/>
        <v>111182588.86672565</v>
      </c>
    </row>
    <row r="86" spans="1:13" x14ac:dyDescent="0.3">
      <c r="A86" s="1">
        <v>68</v>
      </c>
      <c r="B86" s="6" cm="1">
        <f t="array" ref="B86">FGivenP($C$3,$A86)</f>
        <v>187.41975814608861</v>
      </c>
      <c r="C86" s="6" cm="1">
        <f t="array" ref="C86">PGivenF($C$3,$A86)</f>
        <v>5.3356167454902334E-3</v>
      </c>
      <c r="D86" s="6" cm="1">
        <f t="array" ref="D86">AGivenF($C$3,$A86)</f>
        <v>4.29139061200303E-4</v>
      </c>
      <c r="E86" s="6" cm="1">
        <f t="array" ref="E86">FGivenA($C$3,$A86)</f>
        <v>2330.2469768261076</v>
      </c>
      <c r="F86" s="6" cm="1">
        <f t="array" ref="F86">AGivenP($C$3,$A86)</f>
        <v>8.0429139061200305E-2</v>
      </c>
      <c r="G86" s="6" cm="1">
        <f t="array" ref="G86">PGivenA($C$3,$A86)</f>
        <v>12.433304790681373</v>
      </c>
      <c r="H86" s="6" cm="1">
        <f t="array" ref="H86">AGivenG($C$3,$A86)</f>
        <v>12.135231797979742</v>
      </c>
      <c r="I86" s="4"/>
      <c r="J86" s="6" cm="1">
        <f t="array" ref="J86">GeoGradienT(C$3, $A86,C$5)</f>
        <v>144125579.08649889</v>
      </c>
      <c r="K86" s="6" cm="1">
        <f t="array" ref="K86">PGivenA($C$8,$A86)</f>
        <v>201775810.72109464</v>
      </c>
      <c r="L86" s="4">
        <f t="shared" si="4"/>
        <v>1.4</v>
      </c>
      <c r="M86" s="4">
        <f t="shared" si="5"/>
        <v>144125579.08649617</v>
      </c>
    </row>
    <row r="87" spans="1:13" x14ac:dyDescent="0.3">
      <c r="A87" s="1">
        <v>69</v>
      </c>
      <c r="B87" s="6" cm="1">
        <f t="array" ref="B87">FGivenP($C$3,$A87)</f>
        <v>202.41333879777571</v>
      </c>
      <c r="C87" s="6" cm="1">
        <f t="array" ref="C87">PGivenF($C$3,$A87)</f>
        <v>4.9403858754539197E-3</v>
      </c>
      <c r="D87" s="6" cm="1">
        <f t="array" ref="D87">AGivenF($C$3,$A87)</f>
        <v>3.9719315750146077E-4</v>
      </c>
      <c r="E87" s="6" cm="1">
        <f t="array" ref="E87">FGivenA($C$3,$A87)</f>
        <v>2517.6667349721961</v>
      </c>
      <c r="F87" s="6" cm="1">
        <f t="array" ref="F87">AGivenP($C$3,$A87)</f>
        <v>8.0397193157501462E-2</v>
      </c>
      <c r="G87" s="6" cm="1">
        <f t="array" ref="G87">PGivenA($C$3,$A87)</f>
        <v>12.438245176556826</v>
      </c>
      <c r="H87" s="6" cm="1">
        <f t="array" ref="H87">AGivenG($C$3,$A87)</f>
        <v>12.157420901654989</v>
      </c>
      <c r="I87" s="4"/>
      <c r="J87" s="6" cm="1">
        <f t="array" ref="J87">GeoGradienT(C$3, $A87,C$5)</f>
        <v>186829455.29731336</v>
      </c>
      <c r="K87" s="6" cm="1">
        <f t="array" ref="K87">PGivenA($C$8,$A87)</f>
        <v>261561237.41623375</v>
      </c>
      <c r="L87" s="4">
        <f t="shared" si="4"/>
        <v>1.4</v>
      </c>
      <c r="M87" s="4">
        <f t="shared" si="5"/>
        <v>186829455.29730985</v>
      </c>
    </row>
    <row r="88" spans="1:13" x14ac:dyDescent="0.3">
      <c r="A88" s="1">
        <v>70</v>
      </c>
      <c r="B88" s="6" cm="1">
        <f t="array" ref="B88">FGivenP($C$3,$A88)</f>
        <v>218.60640590159778</v>
      </c>
      <c r="C88" s="6" cm="1">
        <f t="array" ref="C88">PGivenF($C$3,$A88)</f>
        <v>4.5744313661610367E-3</v>
      </c>
      <c r="D88" s="6" cm="1">
        <f t="array" ref="D88">AGivenF($C$3,$A88)</f>
        <v>3.6763623602228062E-4</v>
      </c>
      <c r="E88" s="6" cm="1">
        <f t="array" ref="E88">FGivenA($C$3,$A88)</f>
        <v>2720.0800737699724</v>
      </c>
      <c r="F88" s="6" cm="1">
        <f t="array" ref="F88">AGivenP($C$3,$A88)</f>
        <v>8.0367636236022277E-2</v>
      </c>
      <c r="G88" s="6" cm="1">
        <f t="array" ref="G88">PGivenA($C$3,$A88)</f>
        <v>12.442819607922987</v>
      </c>
      <c r="H88" s="6" cm="1">
        <f t="array" ref="H88">AGivenG($C$3,$A88)</f>
        <v>12.178318293480505</v>
      </c>
      <c r="I88" s="4"/>
      <c r="J88" s="6" cm="1">
        <f t="array" ref="J88">GeoGradienT(C$3, $A88,C$5)</f>
        <v>242186331.86688775</v>
      </c>
      <c r="K88" s="6" cm="1">
        <f t="array" ref="K88">PGivenA($C$8,$A88)</f>
        <v>339060864.61363626</v>
      </c>
      <c r="L88" s="4">
        <f t="shared" si="4"/>
        <v>1.4</v>
      </c>
      <c r="M88" s="4">
        <f t="shared" si="5"/>
        <v>242186331.86688307</v>
      </c>
    </row>
    <row r="89" spans="1:13" x14ac:dyDescent="0.3">
      <c r="A89" s="1">
        <v>71</v>
      </c>
      <c r="B89" s="6" cm="1">
        <f t="array" ref="B89">FGivenP($C$3,$A89)</f>
        <v>236.09491837372562</v>
      </c>
      <c r="C89" s="6" cm="1">
        <f t="array" ref="C89">PGivenF($C$3,$A89)</f>
        <v>4.2355845982972561E-3</v>
      </c>
      <c r="D89" s="6" cm="1">
        <f t="array" ref="D89">AGivenF($C$3,$A89)</f>
        <v>3.4028808684339842E-4</v>
      </c>
      <c r="E89" s="6" cm="1">
        <f t="array" ref="E89">FGivenA($C$3,$A89)</f>
        <v>2938.6864796715704</v>
      </c>
      <c r="F89" s="6" cm="1">
        <f t="array" ref="F89">AGivenP($C$3,$A89)</f>
        <v>8.0340288086843403E-2</v>
      </c>
      <c r="G89" s="6" cm="1">
        <f t="array" ref="G89">PGivenA($C$3,$A89)</f>
        <v>12.447055192521285</v>
      </c>
      <c r="H89" s="6" cm="1">
        <f t="array" ref="H89">AGivenG($C$3,$A89)</f>
        <v>12.197994322926483</v>
      </c>
      <c r="I89" s="4"/>
      <c r="J89" s="6" cm="1">
        <f t="array" ref="J89">GeoGradienT(C$3, $A89,C$5)</f>
        <v>313945245.93855822</v>
      </c>
      <c r="K89" s="6" cm="1">
        <f t="array" ref="K89">PGivenA($C$8,$A89)</f>
        <v>439523344.31397283</v>
      </c>
      <c r="L89" s="4">
        <f t="shared" si="4"/>
        <v>1.4</v>
      </c>
      <c r="M89" s="4">
        <f t="shared" si="5"/>
        <v>313945245.93855202</v>
      </c>
    </row>
    <row r="90" spans="1:13" x14ac:dyDescent="0.3">
      <c r="A90" s="1">
        <v>72</v>
      </c>
      <c r="B90" s="6" cm="1">
        <f t="array" ref="B90">FGivenP($C$3,$A90)</f>
        <v>254.98251184362368</v>
      </c>
      <c r="C90" s="6" cm="1">
        <f t="array" ref="C90">PGivenF($C$3,$A90)</f>
        <v>3.9218375910159775E-3</v>
      </c>
      <c r="D90" s="6" cm="1">
        <f t="array" ref="D90">AGivenF($C$3,$A90)</f>
        <v>3.1498231677169872E-4</v>
      </c>
      <c r="E90" s="6" cm="1">
        <f t="array" ref="E90">FGivenA($C$3,$A90)</f>
        <v>3174.7813980452961</v>
      </c>
      <c r="F90" s="6" cm="1">
        <f t="array" ref="F90">AGivenP($C$3,$A90)</f>
        <v>8.0314982316771699E-2</v>
      </c>
      <c r="G90" s="6" cm="1">
        <f t="array" ref="G90">PGivenA($C$3,$A90)</f>
        <v>12.4509770301123</v>
      </c>
      <c r="H90" s="6" cm="1">
        <f t="array" ref="H90">AGivenG($C$3,$A90)</f>
        <v>12.216515914905472</v>
      </c>
      <c r="I90" s="4"/>
      <c r="J90" s="6" cm="1">
        <f t="array" ref="J90">GeoGradienT(C$3, $A90,C$5)</f>
        <v>406966060.47590888</v>
      </c>
      <c r="K90" s="6" cm="1">
        <f t="array" ref="K90">PGivenA($C$8,$A90)</f>
        <v>569752484.66626096</v>
      </c>
      <c r="L90" s="4">
        <f t="shared" si="4"/>
        <v>1.4</v>
      </c>
      <c r="M90" s="4">
        <f t="shared" si="5"/>
        <v>406966060.47590071</v>
      </c>
    </row>
    <row r="91" spans="1:13" x14ac:dyDescent="0.3">
      <c r="A91" s="1">
        <v>73</v>
      </c>
      <c r="B91" s="6" cm="1">
        <f t="array" ref="B91">FGivenP($C$3,$A91)</f>
        <v>275.38111279111359</v>
      </c>
      <c r="C91" s="6" cm="1">
        <f t="array" ref="C91">PGivenF($C$3,$A91)</f>
        <v>3.6313311027925711E-3</v>
      </c>
      <c r="D91" s="6" cm="1">
        <f t="array" ref="D91">AGivenF($C$3,$A91)</f>
        <v>2.9156525821405217E-4</v>
      </c>
      <c r="E91" s="6" cm="1">
        <f t="array" ref="E91">FGivenA($C$3,$A91)</f>
        <v>3429.7639098889199</v>
      </c>
      <c r="F91" s="6" cm="1">
        <f t="array" ref="F91">AGivenP($C$3,$A91)</f>
        <v>8.0291565258214057E-2</v>
      </c>
      <c r="G91" s="6" cm="1">
        <f t="array" ref="G91">PGivenA($C$3,$A91)</f>
        <v>12.454608361215092</v>
      </c>
      <c r="H91" s="6" cm="1">
        <f t="array" ref="H91">AGivenG($C$3,$A91)</f>
        <v>12.233946701879677</v>
      </c>
      <c r="I91" s="4"/>
      <c r="J91" s="6" cm="1">
        <f t="array" ref="J91">GeoGradienT(C$3, $A91,C$5)</f>
        <v>527548597.83914113</v>
      </c>
      <c r="K91" s="6" cm="1">
        <f t="array" ref="K91">PGivenA($C$8,$A91)</f>
        <v>738568036.97478271</v>
      </c>
      <c r="L91" s="4">
        <f t="shared" si="4"/>
        <v>1.4</v>
      </c>
      <c r="M91" s="4">
        <f t="shared" si="5"/>
        <v>527548597.83913052</v>
      </c>
    </row>
    <row r="92" spans="1:13" x14ac:dyDescent="0.3">
      <c r="A92" s="1">
        <v>74</v>
      </c>
      <c r="B92" s="6" cm="1">
        <f t="array" ref="B92">FGivenP($C$3,$A92)</f>
        <v>297.41160181440267</v>
      </c>
      <c r="C92" s="6" cm="1">
        <f t="array" ref="C92">PGivenF($C$3,$A92)</f>
        <v>3.3623436136968254E-3</v>
      </c>
      <c r="D92" s="6" cm="1">
        <f t="array" ref="D92">AGivenF($C$3,$A92)</f>
        <v>2.6989496872019126E-4</v>
      </c>
      <c r="E92" s="6" cm="1">
        <f t="array" ref="E92">FGivenA($C$3,$A92)</f>
        <v>3705.1450226800334</v>
      </c>
      <c r="F92" s="6" cm="1">
        <f t="array" ref="F92">AGivenP($C$3,$A92)</f>
        <v>8.0269894968720196E-2</v>
      </c>
      <c r="G92" s="6" cm="1">
        <f t="array" ref="G92">PGivenA($C$3,$A92)</f>
        <v>12.457970704828789</v>
      </c>
      <c r="H92" s="6" cm="1">
        <f t="array" ref="H92">AGivenG($C$3,$A92)</f>
        <v>12.250347153933824</v>
      </c>
      <c r="I92" s="4"/>
      <c r="J92" s="6" cm="1">
        <f t="array" ref="J92">GeoGradienT(C$3, $A92,C$5)</f>
        <v>683859294.42110896</v>
      </c>
      <c r="K92" s="6" cm="1">
        <f t="array" ref="K92">PGivenA($C$8,$A92)</f>
        <v>957403012.18953276</v>
      </c>
      <c r="L92" s="4">
        <f t="shared" si="4"/>
        <v>1.4</v>
      </c>
      <c r="M92" s="4">
        <f t="shared" si="5"/>
        <v>683859294.42109489</v>
      </c>
    </row>
    <row r="93" spans="1:13" x14ac:dyDescent="0.3">
      <c r="A93" s="1">
        <v>75</v>
      </c>
      <c r="B93" s="6" cm="1">
        <f t="array" ref="B93">FGivenP($C$3,$A93)</f>
        <v>321.20452995955492</v>
      </c>
      <c r="C93" s="6" cm="1">
        <f t="array" ref="C93">PGivenF($C$3,$A93)</f>
        <v>3.1132811237933565E-3</v>
      </c>
      <c r="D93" s="6" cm="1">
        <f t="array" ref="D93">AGivenF($C$3,$A93)</f>
        <v>2.4984031303399991E-4</v>
      </c>
      <c r="E93" s="6" cm="1">
        <f t="array" ref="E93">FGivenA($C$3,$A93)</f>
        <v>4002.5566244944366</v>
      </c>
      <c r="F93" s="6" cm="1">
        <f t="array" ref="F93">AGivenP($C$3,$A93)</f>
        <v>8.0249840313034004E-2</v>
      </c>
      <c r="G93" s="6" cm="1">
        <f t="array" ref="G93">PGivenA($C$3,$A93)</f>
        <v>12.461083985952582</v>
      </c>
      <c r="H93" s="6" cm="1">
        <f t="array" ref="H93">AGivenG($C$3,$A93)</f>
        <v>12.265774706530625</v>
      </c>
      <c r="I93" s="4"/>
      <c r="J93" s="6" cm="1">
        <f t="array" ref="J93">GeoGradienT(C$3, $A93,C$5)</f>
        <v>886484271.47180796</v>
      </c>
      <c r="K93" s="6" cm="1">
        <f t="array" ref="K93">PGivenA($C$8,$A93)</f>
        <v>1241077980.0605052</v>
      </c>
      <c r="L93" s="4">
        <f t="shared" si="4"/>
        <v>1.4</v>
      </c>
      <c r="M93" s="4">
        <f t="shared" si="5"/>
        <v>886484271.47178948</v>
      </c>
    </row>
    <row r="94" spans="1:13" x14ac:dyDescent="0.3">
      <c r="A94" s="1">
        <v>76</v>
      </c>
      <c r="B94" s="6" cm="1">
        <f t="array" ref="B94">FGivenP($C$3,$A94)</f>
        <v>346.90089235631933</v>
      </c>
      <c r="C94" s="6" cm="1">
        <f t="array" ref="C94">PGivenF($C$3,$A94)</f>
        <v>2.8826677072160706E-3</v>
      </c>
      <c r="D94" s="6" cm="1">
        <f t="array" ref="D94">AGivenF($C$3,$A94)</f>
        <v>2.3128012031142846E-4</v>
      </c>
      <c r="E94" s="6" cm="1">
        <f t="array" ref="E94">FGivenA($C$3,$A94)</f>
        <v>4323.7611544539914</v>
      </c>
      <c r="F94" s="6" cm="1">
        <f t="array" ref="F94">AGivenP($C$3,$A94)</f>
        <v>8.023128012031143E-2</v>
      </c>
      <c r="G94" s="6" cm="1">
        <f t="array" ref="G94">PGivenA($C$3,$A94)</f>
        <v>12.463966653659799</v>
      </c>
      <c r="H94" s="6" cm="1">
        <f t="array" ref="H94">AGivenG($C$3,$A94)</f>
        <v>12.280283885704142</v>
      </c>
      <c r="I94" s="4"/>
      <c r="J94" s="6" cm="1">
        <f t="array" ref="J94">GeoGradienT(C$3, $A94,C$5)</f>
        <v>1149146278.7597511</v>
      </c>
      <c r="K94" s="6" cm="1">
        <f t="array" ref="K94">PGivenA($C$8,$A94)</f>
        <v>1608804790.2636178</v>
      </c>
      <c r="L94" s="4">
        <f t="shared" si="4"/>
        <v>1.4</v>
      </c>
      <c r="M94" s="4">
        <f t="shared" si="5"/>
        <v>1149146278.759727</v>
      </c>
    </row>
    <row r="95" spans="1:13" x14ac:dyDescent="0.3">
      <c r="A95" s="1">
        <v>77</v>
      </c>
      <c r="B95" s="6" cm="1">
        <f t="array" ref="B95">FGivenP($C$3,$A95)</f>
        <v>374.65296374482494</v>
      </c>
      <c r="C95" s="6" cm="1">
        <f t="array" ref="C95">PGivenF($C$3,$A95)</f>
        <v>2.6691367659408059E-3</v>
      </c>
      <c r="D95" s="6" cm="1">
        <f t="array" ref="D95">AGivenF($C$3,$A95)</f>
        <v>2.1410240988917618E-4</v>
      </c>
      <c r="E95" s="6" cm="1">
        <f t="array" ref="E95">FGivenA($C$3,$A95)</f>
        <v>4670.6620468103119</v>
      </c>
      <c r="F95" s="6" cm="1">
        <f t="array" ref="F95">AGivenP($C$3,$A95)</f>
        <v>8.0214102409889174E-2</v>
      </c>
      <c r="G95" s="6" cm="1">
        <f t="array" ref="G95">PGivenA($C$3,$A95)</f>
        <v>12.466635790425739</v>
      </c>
      <c r="H95" s="6" cm="1">
        <f t="array" ref="H95">AGivenG($C$3,$A95)</f>
        <v>12.293926430481667</v>
      </c>
      <c r="I95" s="4"/>
      <c r="J95" s="6" cm="1">
        <f t="array" ref="J95">GeoGradienT(C$3, $A95,C$5)</f>
        <v>1489634065.9848626</v>
      </c>
      <c r="K95" s="6" cm="1">
        <f t="array" ref="K95">PGivenA($C$8,$A95)</f>
        <v>2085487692.3787632</v>
      </c>
      <c r="L95" s="4">
        <f t="shared" si="4"/>
        <v>1.4</v>
      </c>
      <c r="M95" s="4">
        <f t="shared" si="5"/>
        <v>1489634065.9848309</v>
      </c>
    </row>
    <row r="96" spans="1:13" x14ac:dyDescent="0.3">
      <c r="A96" s="1">
        <v>78</v>
      </c>
      <c r="B96" s="6" cm="1">
        <f t="array" ref="B96">FGivenP($C$3,$A96)</f>
        <v>404.62520084441093</v>
      </c>
      <c r="C96" s="6" cm="1">
        <f t="array" ref="C96">PGivenF($C$3,$A96)</f>
        <v>2.4714229314266719E-3</v>
      </c>
      <c r="D96" s="6" cm="1">
        <f t="array" ref="D96">AGivenF($C$3,$A96)</f>
        <v>1.9820367963307208E-4</v>
      </c>
      <c r="E96" s="6" cm="1">
        <f t="array" ref="E96">FGivenA($C$3,$A96)</f>
        <v>5045.3150105551367</v>
      </c>
      <c r="F96" s="6" cm="1">
        <f t="array" ref="F96">AGivenP($C$3,$A96)</f>
        <v>8.0198203679633068E-2</v>
      </c>
      <c r="G96" s="6" cm="1">
        <f t="array" ref="G96">PGivenA($C$3,$A96)</f>
        <v>12.469107213357166</v>
      </c>
      <c r="H96" s="6" cm="1">
        <f t="array" ref="H96">AGivenG($C$3,$A96)</f>
        <v>12.306751412357755</v>
      </c>
      <c r="I96" s="4"/>
      <c r="J96" s="6" cm="1">
        <f t="array" ref="J96">GeoGradienT(C$3, $A96,C$5)</f>
        <v>1931007123.4988966</v>
      </c>
      <c r="K96" s="6" cm="1">
        <f t="array" ref="K96">PGivenA($C$8,$A96)</f>
        <v>2703409972.8983965</v>
      </c>
      <c r="L96" s="4">
        <f t="shared" si="4"/>
        <v>1.4</v>
      </c>
      <c r="M96" s="4">
        <f t="shared" si="5"/>
        <v>1931007123.4988549</v>
      </c>
    </row>
    <row r="97" spans="1:13" x14ac:dyDescent="0.3">
      <c r="A97" s="1">
        <v>79</v>
      </c>
      <c r="B97" s="6" cm="1">
        <f t="array" ref="B97">FGivenP($C$3,$A97)</f>
        <v>436.99521691196384</v>
      </c>
      <c r="C97" s="6" cm="1">
        <f t="array" ref="C97">PGivenF($C$3,$A97)</f>
        <v>2.2883545661358073E-3</v>
      </c>
      <c r="D97" s="6" cm="1">
        <f t="array" ref="D97">AGivenF($C$3,$A97)</f>
        <v>1.8348825146894583E-4</v>
      </c>
      <c r="E97" s="6" cm="1">
        <f t="array" ref="E97">FGivenA($C$3,$A97)</f>
        <v>5449.9402113995475</v>
      </c>
      <c r="F97" s="6" cm="1">
        <f t="array" ref="F97">AGivenP($C$3,$A97)</f>
        <v>8.0183488251468954E-2</v>
      </c>
      <c r="G97" s="6" cm="1">
        <f t="array" ref="G97">PGivenA($C$3,$A97)</f>
        <v>12.471395567923302</v>
      </c>
      <c r="H97" s="6" cm="1">
        <f t="array" ref="H97">AGivenG($C$3,$A97)</f>
        <v>12.318805351674415</v>
      </c>
      <c r="I97" s="4"/>
      <c r="J97" s="6" cm="1">
        <f t="array" ref="J97">GeoGradienT(C$3, $A97,C$5)</f>
        <v>2503157383.2393107</v>
      </c>
      <c r="K97" s="6" cm="1">
        <f t="array" ref="K97">PGivenA($C$8,$A97)</f>
        <v>3504420336.5349574</v>
      </c>
      <c r="L97" s="4">
        <f t="shared" si="4"/>
        <v>1.4</v>
      </c>
      <c r="M97" s="4">
        <f t="shared" si="5"/>
        <v>2503157383.2392554</v>
      </c>
    </row>
    <row r="98" spans="1:13" x14ac:dyDescent="0.3">
      <c r="A98" s="1">
        <v>80</v>
      </c>
      <c r="B98" s="6" cm="1">
        <f t="array" ref="B98">FGivenP($C$3,$A98)</f>
        <v>471.95483426492098</v>
      </c>
      <c r="C98" s="6" cm="1">
        <f t="array" ref="C98">PGivenF($C$3,$A98)</f>
        <v>2.1188468204961178E-3</v>
      </c>
      <c r="D98" s="6" cm="1">
        <f t="array" ref="D98">AGivenF($C$3,$A98)</f>
        <v>1.6986766921050117E-4</v>
      </c>
      <c r="E98" s="6" cm="1">
        <f t="array" ref="E98">FGivenA($C$3,$A98)</f>
        <v>5886.9354283115117</v>
      </c>
      <c r="F98" s="6" cm="1">
        <f t="array" ref="F98">AGivenP($C$3,$A98)</f>
        <v>8.0169867669210498E-2</v>
      </c>
      <c r="G98" s="6" cm="1">
        <f t="array" ref="G98">PGivenA($C$3,$A98)</f>
        <v>12.473514414743798</v>
      </c>
      <c r="H98" s="6" cm="1">
        <f t="array" ref="H98">AGivenG($C$3,$A98)</f>
        <v>12.330132330789498</v>
      </c>
      <c r="I98" s="4"/>
      <c r="J98" s="6" cm="1">
        <f t="array" ref="J98">GeoGradienT(C$3, $A98,C$5)</f>
        <v>3244833645.8657732</v>
      </c>
      <c r="K98" s="6" cm="1">
        <f t="array" ref="K98">PGivenA($C$8,$A98)</f>
        <v>4542767104.2119818</v>
      </c>
      <c r="L98" s="4">
        <f t="shared" si="4"/>
        <v>1.4</v>
      </c>
      <c r="M98" s="4">
        <f t="shared" si="5"/>
        <v>3244833645.8657017</v>
      </c>
    </row>
    <row r="99" spans="1:13" x14ac:dyDescent="0.3">
      <c r="A99" s="1">
        <v>81</v>
      </c>
      <c r="B99" s="6" cm="1">
        <f t="array" ref="B99">FGivenP($C$3,$A99)</f>
        <v>509.71122100611473</v>
      </c>
      <c r="C99" s="6" cm="1">
        <f t="array" ref="C99">PGivenF($C$3,$A99)</f>
        <v>1.9618952041630718E-3</v>
      </c>
      <c r="D99" s="6" cm="1">
        <f t="array" ref="D99">AGivenF($C$3,$A99)</f>
        <v>1.5726014425586731E-4</v>
      </c>
      <c r="E99" s="6" cm="1">
        <f t="array" ref="E99">FGivenA($C$3,$A99)</f>
        <v>6358.890262576434</v>
      </c>
      <c r="F99" s="6" cm="1">
        <f t="array" ref="F99">AGivenP($C$3,$A99)</f>
        <v>8.0157260144255865E-2</v>
      </c>
      <c r="G99" s="6" cm="1">
        <f t="array" ref="G99">PGivenA($C$3,$A99)</f>
        <v>12.475476309947961</v>
      </c>
      <c r="H99" s="6" cm="1">
        <f t="array" ref="H99">AGivenG($C$3,$A99)</f>
        <v>12.340774103940934</v>
      </c>
      <c r="I99" s="4"/>
      <c r="J99" s="6" cm="1">
        <f t="array" ref="J99">GeoGradienT(C$3, $A99,C$5)</f>
        <v>4206265838.1593356</v>
      </c>
      <c r="K99" s="6" cm="1">
        <f t="array" ref="K99">PGivenA($C$8,$A99)</f>
        <v>5888772173.4229374</v>
      </c>
      <c r="L99" s="4">
        <f t="shared" si="4"/>
        <v>1.4</v>
      </c>
      <c r="M99" s="4">
        <f t="shared" si="5"/>
        <v>4206265838.1592412</v>
      </c>
    </row>
    <row r="100" spans="1:13" x14ac:dyDescent="0.3">
      <c r="A100" s="1">
        <v>82</v>
      </c>
      <c r="B100" s="6" cm="1">
        <f t="array" ref="B100">FGivenP($C$3,$A100)</f>
        <v>550.48811868660391</v>
      </c>
      <c r="C100" s="6" cm="1">
        <f t="array" ref="C100">PGivenF($C$3,$A100)</f>
        <v>1.8165696334843256E-3</v>
      </c>
      <c r="D100" s="6" cm="1">
        <f t="array" ref="D100">AGivenF($C$3,$A100)</f>
        <v>1.4559004513367348E-4</v>
      </c>
      <c r="E100" s="6" cm="1">
        <f t="array" ref="E100">FGivenA($C$3,$A100)</f>
        <v>6868.601483582549</v>
      </c>
      <c r="F100" s="6" cm="1">
        <f t="array" ref="F100">AGivenP($C$3,$A100)</f>
        <v>8.0145590045133677E-2</v>
      </c>
      <c r="G100" s="6" cm="1">
        <f t="array" ref="G100">PGivenA($C$3,$A100)</f>
        <v>12.477292879581446</v>
      </c>
      <c r="H100" s="6" cm="1">
        <f t="array" ref="H100">AGivenG($C$3,$A100)</f>
        <v>12.350770203737984</v>
      </c>
      <c r="I100" s="4"/>
      <c r="J100" s="6" cm="1">
        <f t="array" ref="J100">GeoGradienT(C$3, $A100,C$5)</f>
        <v>5452566828.1695108</v>
      </c>
      <c r="K100" s="6" cm="1">
        <f t="array" ref="K100">PGivenA($C$8,$A100)</f>
        <v>7633593559.4371405</v>
      </c>
      <c r="L100" s="4">
        <f t="shared" si="4"/>
        <v>1.4</v>
      </c>
      <c r="M100" s="4">
        <f t="shared" si="5"/>
        <v>5452566828.1693869</v>
      </c>
    </row>
    <row r="101" spans="1:13" x14ac:dyDescent="0.3">
      <c r="A101" s="1">
        <v>83</v>
      </c>
      <c r="B101" s="6" cm="1">
        <f t="array" ref="B101">FGivenP($C$3,$A101)</f>
        <v>594.52716818153226</v>
      </c>
      <c r="C101" s="6" cm="1">
        <f t="array" ref="C101">PGivenF($C$3,$A101)</f>
        <v>1.6820089198928939E-3</v>
      </c>
      <c r="D101" s="6" cm="1">
        <f t="array" ref="D101">AGivenF($C$3,$A101)</f>
        <v>1.3478742724634928E-4</v>
      </c>
      <c r="E101" s="6" cm="1">
        <f t="array" ref="E101">FGivenA($C$3,$A101)</f>
        <v>7419.0896022691531</v>
      </c>
      <c r="F101" s="6" cm="1">
        <f t="array" ref="F101">AGivenP($C$3,$A101)</f>
        <v>8.0134787427246348E-2</v>
      </c>
      <c r="G101" s="6" cm="1">
        <f t="array" ref="G101">PGivenA($C$3,$A101)</f>
        <v>12.478974888501339</v>
      </c>
      <c r="H101" s="6" cm="1">
        <f t="array" ref="H101">AGivenG($C$3,$A101)</f>
        <v>12.360158044231913</v>
      </c>
      <c r="I101" s="4"/>
      <c r="J101" s="6" cm="1">
        <f t="array" ref="J101">GeoGradienT(C$3, $A101,C$5)</f>
        <v>7068142185.590106</v>
      </c>
      <c r="K101" s="6" cm="1">
        <f t="array" ref="K101">PGivenA($C$8,$A101)</f>
        <v>9895399059.8259201</v>
      </c>
      <c r="L101" s="4">
        <f t="shared" si="4"/>
        <v>1.4</v>
      </c>
      <c r="M101" s="4">
        <f t="shared" si="5"/>
        <v>7068142185.5899429</v>
      </c>
    </row>
    <row r="102" spans="1:13" x14ac:dyDescent="0.3">
      <c r="A102" s="1">
        <v>84</v>
      </c>
      <c r="B102" s="6" cm="1">
        <f t="array" ref="B102">FGivenP($C$3,$A102)</f>
        <v>642.08934163605488</v>
      </c>
      <c r="C102" s="6" cm="1">
        <f t="array" ref="C102">PGivenF($C$3,$A102)</f>
        <v>1.5574156665674943E-3</v>
      </c>
      <c r="D102" s="6" cm="1">
        <f t="array" ref="D102">AGivenF($C$3,$A102)</f>
        <v>1.2478759948783525E-4</v>
      </c>
      <c r="E102" s="6" cm="1">
        <f t="array" ref="E102">FGivenA($C$3,$A102)</f>
        <v>8013.6167704506861</v>
      </c>
      <c r="F102" s="6" cm="1">
        <f t="array" ref="F102">AGivenP($C$3,$A102)</f>
        <v>8.0124787599487837E-2</v>
      </c>
      <c r="G102" s="6" cm="1">
        <f t="array" ref="G102">PGivenA($C$3,$A102)</f>
        <v>12.480532304167905</v>
      </c>
      <c r="H102" s="6" cm="1">
        <f t="array" ref="H102">AGivenG($C$3,$A102)</f>
        <v>12.368973020537773</v>
      </c>
      <c r="I102" s="4"/>
      <c r="J102" s="6" cm="1">
        <f t="array" ref="J102">GeoGradienT(C$3, $A102,C$5)</f>
        <v>9162406537.8019905</v>
      </c>
      <c r="K102" s="6" cm="1">
        <f t="array" ref="K102">PGivenA($C$8,$A102)</f>
        <v>12827369152.922485</v>
      </c>
      <c r="L102" s="4">
        <f t="shared" si="4"/>
        <v>1.4</v>
      </c>
      <c r="M102" s="4">
        <f t="shared" si="5"/>
        <v>9162406537.801775</v>
      </c>
    </row>
    <row r="103" spans="1:13" x14ac:dyDescent="0.3">
      <c r="A103" s="1">
        <v>85</v>
      </c>
      <c r="B103" s="6" cm="1">
        <f t="array" ref="B103">FGivenP($C$3,$A103)</f>
        <v>693.45648896693933</v>
      </c>
      <c r="C103" s="6" cm="1">
        <f t="array" ref="C103">PGivenF($C$3,$A103)</f>
        <v>1.4420515431180503E-3</v>
      </c>
      <c r="D103" s="6" cm="1">
        <f t="array" ref="D103">AGivenF($C$3,$A103)</f>
        <v>1.1553072470928859E-4</v>
      </c>
      <c r="E103" s="6" cm="1">
        <f t="array" ref="E103">FGivenA($C$3,$A103)</f>
        <v>8655.706112086742</v>
      </c>
      <c r="F103" s="6" cm="1">
        <f t="array" ref="F103">AGivenP($C$3,$A103)</f>
        <v>8.0115530724709297E-2</v>
      </c>
      <c r="G103" s="6" cm="1">
        <f t="array" ref="G103">PGivenA($C$3,$A103)</f>
        <v>12.481974355711024</v>
      </c>
      <c r="H103" s="6" cm="1">
        <f t="array" ref="H103">AGivenG($C$3,$A103)</f>
        <v>12.37724860499638</v>
      </c>
      <c r="I103" s="4"/>
      <c r="J103" s="6" cm="1">
        <f t="array" ref="J103">GeoGradienT(C$3, $A103,C$5)</f>
        <v>11877193661.039619</v>
      </c>
      <c r="K103" s="6" cm="1">
        <f t="array" ref="K103">PGivenA($C$8,$A103)</f>
        <v>16628071125.45507</v>
      </c>
      <c r="L103" s="4">
        <f t="shared" si="4"/>
        <v>1.4</v>
      </c>
      <c r="M103" s="4">
        <f t="shared" si="5"/>
        <v>11877193661.039337</v>
      </c>
    </row>
    <row r="104" spans="1:13" x14ac:dyDescent="0.3">
      <c r="A104" s="1">
        <v>86</v>
      </c>
      <c r="B104" s="6" cm="1">
        <f t="array" ref="B104">FGivenP($C$3,$A104)</f>
        <v>748.93300808429456</v>
      </c>
      <c r="C104" s="6" cm="1">
        <f t="array" ref="C104">PGivenF($C$3,$A104)</f>
        <v>1.3352329102944908E-3</v>
      </c>
      <c r="D104" s="6" cm="1">
        <f t="array" ref="D104">AGivenF($C$3,$A104)</f>
        <v>1.0696145127343241E-4</v>
      </c>
      <c r="E104" s="6" cm="1">
        <f t="array" ref="E104">FGivenA($C$3,$A104)</f>
        <v>9349.162601053682</v>
      </c>
      <c r="F104" s="6" cm="1">
        <f t="array" ref="F104">AGivenP($C$3,$A104)</f>
        <v>8.010696145127344E-2</v>
      </c>
      <c r="G104" s="6" cm="1">
        <f t="array" ref="G104">PGivenA($C$3,$A104)</f>
        <v>12.483309588621319</v>
      </c>
      <c r="H104" s="6" cm="1">
        <f t="array" ref="H104">AGivenG($C$3,$A104)</f>
        <v>12.38501643988106</v>
      </c>
      <c r="I104" s="4"/>
      <c r="J104" s="6" cm="1">
        <f t="array" ref="J104">GeoGradienT(C$3, $A104,C$5)</f>
        <v>15396362154.125435</v>
      </c>
      <c r="K104" s="6" cm="1">
        <f t="array" ref="K104">PGivenA($C$8,$A104)</f>
        <v>21554907015.775089</v>
      </c>
      <c r="L104" s="4">
        <f t="shared" si="4"/>
        <v>1.4</v>
      </c>
      <c r="M104" s="4">
        <f t="shared" si="5"/>
        <v>15396362154.125065</v>
      </c>
    </row>
    <row r="105" spans="1:13" x14ac:dyDescent="0.3">
      <c r="A105" s="1">
        <v>87</v>
      </c>
      <c r="B105" s="6" cm="1">
        <f t="array" ref="B105">FGivenP($C$3,$A105)</f>
        <v>808.84764873103813</v>
      </c>
      <c r="C105" s="6" cm="1">
        <f t="array" ref="C105">PGivenF($C$3,$A105)</f>
        <v>1.236326768791195E-3</v>
      </c>
      <c r="D105" s="6" cm="1">
        <f t="array" ref="D105">AGivenF($C$3,$A105)</f>
        <v>9.9028573179192248E-5</v>
      </c>
      <c r="E105" s="6" cm="1">
        <f t="array" ref="E105">FGivenA($C$3,$A105)</f>
        <v>10098.095609137976</v>
      </c>
      <c r="F105" s="6" cm="1">
        <f t="array" ref="F105">AGivenP($C$3,$A105)</f>
        <v>8.0099028573179187E-2</v>
      </c>
      <c r="G105" s="6" cm="1">
        <f t="array" ref="G105">PGivenA($C$3,$A105)</f>
        <v>12.484545915390109</v>
      </c>
      <c r="H105" s="6" cm="1">
        <f t="array" ref="H105">AGivenG($C$3,$A105)</f>
        <v>12.392306426667629</v>
      </c>
      <c r="I105" s="4"/>
      <c r="J105" s="6" cm="1">
        <f t="array" ref="J105">GeoGradienT(C$3, $A105,C$5)</f>
        <v>19958247237.755196</v>
      </c>
      <c r="K105" s="6" cm="1">
        <f t="array" ref="K105">PGivenA($C$8,$A105)</f>
        <v>27941546132.85659</v>
      </c>
      <c r="L105" s="4">
        <f t="shared" si="4"/>
        <v>1.4</v>
      </c>
      <c r="M105" s="4">
        <f t="shared" si="5"/>
        <v>19958247237.754707</v>
      </c>
    </row>
    <row r="106" spans="1:13" x14ac:dyDescent="0.3">
      <c r="A106" s="1">
        <v>88</v>
      </c>
      <c r="B106" s="6" cm="1">
        <f t="array" ref="B106">FGivenP($C$3,$A106)</f>
        <v>873.55546062952124</v>
      </c>
      <c r="C106" s="6" cm="1">
        <f t="array" ref="C106">PGivenF($C$3,$A106)</f>
        <v>1.1447470081399954E-3</v>
      </c>
      <c r="D106" s="6" cm="1">
        <f t="array" ref="D106">AGivenF($C$3,$A106)</f>
        <v>9.1684716456054869E-5</v>
      </c>
      <c r="E106" s="6" cm="1">
        <f t="array" ref="E106">FGivenA($C$3,$A106)</f>
        <v>10906.943257869016</v>
      </c>
      <c r="F106" s="6" cm="1">
        <f t="array" ref="F106">AGivenP($C$3,$A106)</f>
        <v>8.0091684716456057E-2</v>
      </c>
      <c r="G106" s="6" cm="1">
        <f t="array" ref="G106">PGivenA($C$3,$A106)</f>
        <v>12.48569066239825</v>
      </c>
      <c r="H106" s="6" cm="1">
        <f t="array" ref="H106">AGivenG($C$3,$A106)</f>
        <v>12.399146811898339</v>
      </c>
      <c r="I106" s="4"/>
      <c r="J106" s="6" cm="1">
        <f t="array" ref="J106">GeoGradienT(C$3, $A106,C$5)</f>
        <v>25871801975.793774</v>
      </c>
      <c r="K106" s="6" cm="1">
        <f t="array" ref="K106">PGivenA($C$8,$A106)</f>
        <v>36220522766.11039</v>
      </c>
      <c r="L106" s="4">
        <f t="shared" si="4"/>
        <v>1.4</v>
      </c>
      <c r="M106" s="4">
        <f t="shared" si="5"/>
        <v>25871801975.793137</v>
      </c>
    </row>
    <row r="107" spans="1:13" x14ac:dyDescent="0.3">
      <c r="A107" s="1">
        <v>89</v>
      </c>
      <c r="B107" s="6" cm="1">
        <f t="array" ref="B107">FGivenP($C$3,$A107)</f>
        <v>943.43989747988303</v>
      </c>
      <c r="C107" s="6" cm="1">
        <f t="array" ref="C107">PGivenF($C$3,$A107)</f>
        <v>1.0599509334629587E-3</v>
      </c>
      <c r="D107" s="6" cm="1">
        <f t="array" ref="D107">AGivenF($C$3,$A107)</f>
        <v>8.4886049724680347E-5</v>
      </c>
      <c r="E107" s="6" cm="1">
        <f t="array" ref="E107">FGivenA($C$3,$A107)</f>
        <v>11780.498718498538</v>
      </c>
      <c r="F107" s="6" cm="1">
        <f t="array" ref="F107">AGivenP($C$3,$A107)</f>
        <v>8.0084886049724677E-2</v>
      </c>
      <c r="G107" s="6" cm="1">
        <f t="array" ref="G107">PGivenA($C$3,$A107)</f>
        <v>12.486750613331713</v>
      </c>
      <c r="H107" s="6" cm="1">
        <f t="array" ref="H107">AGivenG($C$3,$A107)</f>
        <v>12.405564269681292</v>
      </c>
      <c r="I107" s="4"/>
      <c r="J107" s="6" cm="1">
        <f t="array" ref="J107">GeoGradienT(C$3, $A107,C$5)</f>
        <v>33537521080.658596</v>
      </c>
      <c r="K107" s="6" cm="1">
        <f t="array" ref="K107">PGivenA($C$8,$A107)</f>
        <v>46952529512.92086</v>
      </c>
      <c r="L107" s="4">
        <f t="shared" si="4"/>
        <v>1.4</v>
      </c>
      <c r="M107" s="4">
        <f t="shared" si="5"/>
        <v>33537521080.657761</v>
      </c>
    </row>
    <row r="108" spans="1:13" x14ac:dyDescent="0.3">
      <c r="A108" s="1">
        <v>90</v>
      </c>
      <c r="B108" s="6" cm="1">
        <f t="array" ref="B108">FGivenP($C$3,$A108)</f>
        <v>1018.9150892782737</v>
      </c>
      <c r="C108" s="6" cm="1">
        <f t="array" ref="C108">PGivenF($C$3,$A108)</f>
        <v>9.8143604950273939E-4</v>
      </c>
      <c r="D108" s="6" cm="1">
        <f t="array" ref="D108">AGivenF($C$3,$A108)</f>
        <v>7.8592016998905005E-5</v>
      </c>
      <c r="E108" s="6" cm="1">
        <f t="array" ref="E108">FGivenA($C$3,$A108)</f>
        <v>12723.938615978421</v>
      </c>
      <c r="F108" s="6" cm="1">
        <f t="array" ref="F108">AGivenP($C$3,$A108)</f>
        <v>8.0078592016998906E-2</v>
      </c>
      <c r="G108" s="6" cm="1">
        <f t="array" ref="G108">PGivenA($C$3,$A108)</f>
        <v>12.487732049381215</v>
      </c>
      <c r="H108" s="6" cm="1">
        <f t="array" ref="H108">AGivenG($C$3,$A108)</f>
        <v>12.411583980876232</v>
      </c>
      <c r="I108" s="4"/>
      <c r="J108" s="6" cm="1">
        <f t="array" ref="J108">GeoGradienT(C$3, $A108,C$5)</f>
        <v>43474564364.74263</v>
      </c>
      <c r="K108" s="6" cm="1">
        <f t="array" ref="K108">PGivenA($C$8,$A108)</f>
        <v>60864390110.638153</v>
      </c>
      <c r="L108" s="4">
        <f t="shared" si="4"/>
        <v>1.4</v>
      </c>
      <c r="M108" s="4">
        <f t="shared" si="5"/>
        <v>43474564364.741539</v>
      </c>
    </row>
    <row r="109" spans="1:13" x14ac:dyDescent="0.3">
      <c r="A109" s="1">
        <v>91</v>
      </c>
      <c r="B109" s="6" cm="1">
        <f t="array" ref="B109">FGivenP($C$3,$A109)</f>
        <v>1100.4282964205356</v>
      </c>
      <c r="C109" s="6" cm="1">
        <f t="array" ref="C109">PGivenF($C$3,$A109)</f>
        <v>9.0873708287290684E-4</v>
      </c>
      <c r="D109" s="6" cm="1">
        <f t="array" ref="D109">AGivenF($C$3,$A109)</f>
        <v>7.2765090966332271E-5</v>
      </c>
      <c r="E109" s="6" cm="1">
        <f t="array" ref="E109">FGivenA($C$3,$A109)</f>
        <v>13742.853705256695</v>
      </c>
      <c r="F109" s="6" cm="1">
        <f t="array" ref="F109">AGivenP($C$3,$A109)</f>
        <v>8.0072765090966336E-2</v>
      </c>
      <c r="G109" s="6" cm="1">
        <f t="array" ref="G109">PGivenA($C$3,$A109)</f>
        <v>12.488640786464089</v>
      </c>
      <c r="H109" s="6" cm="1">
        <f t="array" ref="H109">AGivenG($C$3,$A109)</f>
        <v>12.417229709025797</v>
      </c>
      <c r="I109" s="4"/>
      <c r="J109" s="6" cm="1">
        <f t="array" ref="J109">GeoGradienT(C$3, $A109,C$5)</f>
        <v>56355916770.036751</v>
      </c>
      <c r="K109" s="6" cm="1">
        <f t="array" ref="K109">PGivenA($C$8,$A109)</f>
        <v>78898283478.049438</v>
      </c>
      <c r="L109" s="4">
        <f t="shared" si="4"/>
        <v>1.4</v>
      </c>
      <c r="M109" s="4">
        <f t="shared" si="5"/>
        <v>56355916770.035316</v>
      </c>
    </row>
    <row r="110" spans="1:13" x14ac:dyDescent="0.3">
      <c r="A110" s="1">
        <v>92</v>
      </c>
      <c r="B110" s="6" cm="1">
        <f t="array" ref="B110">FGivenP($C$3,$A110)</f>
        <v>1188.4625601341786</v>
      </c>
      <c r="C110" s="6" cm="1">
        <f t="array" ref="C110">PGivenF($C$3,$A110)</f>
        <v>8.414232248823211E-4</v>
      </c>
      <c r="D110" s="6" cm="1">
        <f t="array" ref="D110">AGivenF($C$3,$A110)</f>
        <v>6.7370545131932677E-5</v>
      </c>
      <c r="E110" s="6" cm="1">
        <f t="array" ref="E110">FGivenA($C$3,$A110)</f>
        <v>14843.282001677233</v>
      </c>
      <c r="F110" s="6" cm="1">
        <f t="array" ref="F110">AGivenP($C$3,$A110)</f>
        <v>8.0067370545131938E-2</v>
      </c>
      <c r="G110" s="6" cm="1">
        <f t="array" ref="G110">PGivenA($C$3,$A110)</f>
        <v>12.489482209688971</v>
      </c>
      <c r="H110" s="6" cm="1">
        <f t="array" ref="H110">AGivenG($C$3,$A110)</f>
        <v>12.422523873098276</v>
      </c>
      <c r="I110" s="4"/>
      <c r="J110" s="6" cm="1">
        <f t="array" ref="J110">GeoGradienT(C$3, $A110,C$5)</f>
        <v>73053966184.3069</v>
      </c>
      <c r="K110" s="6" cm="1">
        <f t="array" ref="K110">PGivenA($C$8,$A110)</f>
        <v>102275552658.02704</v>
      </c>
      <c r="L110" s="4">
        <f t="shared" si="4"/>
        <v>1.4</v>
      </c>
      <c r="M110" s="4">
        <f t="shared" si="5"/>
        <v>73053966184.305038</v>
      </c>
    </row>
    <row r="111" spans="1:13" x14ac:dyDescent="0.3">
      <c r="A111" s="1">
        <v>93</v>
      </c>
      <c r="B111" s="6" cm="1">
        <f t="array" ref="B111">FGivenP($C$3,$A111)</f>
        <v>1283.5395649449131</v>
      </c>
      <c r="C111" s="6" cm="1">
        <f t="array" ref="C111">PGivenF($C$3,$A111)</f>
        <v>7.7909557859474161E-4</v>
      </c>
      <c r="D111" s="6" cm="1">
        <f t="array" ref="D111">AGivenF($C$3,$A111)</f>
        <v>6.2376243342977198E-5</v>
      </c>
      <c r="E111" s="6" cm="1">
        <f t="array" ref="E111">FGivenA($C$3,$A111)</f>
        <v>16031.744561811412</v>
      </c>
      <c r="F111" s="6" cm="1">
        <f t="array" ref="F111">AGivenP($C$3,$A111)</f>
        <v>8.0062376243342975E-2</v>
      </c>
      <c r="G111" s="6" cm="1">
        <f t="array" ref="G111">PGivenA($C$3,$A111)</f>
        <v>12.490261305267566</v>
      </c>
      <c r="H111" s="6" cm="1">
        <f t="array" ref="H111">AGivenG($C$3,$A111)</f>
        <v>12.427487617113789</v>
      </c>
      <c r="I111" s="4"/>
      <c r="J111" s="6" cm="1">
        <f t="array" ref="J111">GeoGradienT(C$3, $A111,C$5)</f>
        <v>94699585795.397842</v>
      </c>
      <c r="K111" s="6" cm="1">
        <f t="array" ref="K111">PGivenA($C$8,$A111)</f>
        <v>132579420113.55354</v>
      </c>
      <c r="L111" s="4">
        <f t="shared" si="4"/>
        <v>1.4</v>
      </c>
      <c r="M111" s="4">
        <f t="shared" si="5"/>
        <v>94699585795.395401</v>
      </c>
    </row>
    <row r="112" spans="1:13" x14ac:dyDescent="0.3">
      <c r="A112" s="1">
        <v>94</v>
      </c>
      <c r="B112" s="6" cm="1">
        <f t="array" ref="B112">FGivenP($C$3,$A112)</f>
        <v>1386.2227301405062</v>
      </c>
      <c r="C112" s="6" cm="1">
        <f t="array" ref="C112">PGivenF($C$3,$A112)</f>
        <v>7.2138479499513108E-4</v>
      </c>
      <c r="D112" s="6" cm="1">
        <f t="array" ref="D112">AGivenF($C$3,$A112)</f>
        <v>5.775244533554934E-5</v>
      </c>
      <c r="E112" s="6" cm="1">
        <f t="array" ref="E112">FGivenA($C$3,$A112)</f>
        <v>17315.284126756327</v>
      </c>
      <c r="F112" s="6" cm="1">
        <f t="array" ref="F112">AGivenP($C$3,$A112)</f>
        <v>8.0057752445335556E-2</v>
      </c>
      <c r="G112" s="6" cm="1">
        <f t="array" ref="G112">PGivenA($C$3,$A112)</f>
        <v>12.490982690062561</v>
      </c>
      <c r="H112" s="6" cm="1">
        <f t="array" ref="H112">AGivenG($C$3,$A112)</f>
        <v>12.432140876730729</v>
      </c>
      <c r="I112" s="4"/>
      <c r="J112" s="6" cm="1">
        <f t="array" ref="J112">GeoGradienT(C$3, $A112,C$5)</f>
        <v>122758722328.29352</v>
      </c>
      <c r="K112" s="6" cm="1">
        <f t="array" ref="K112">PGivenA($C$8,$A112)</f>
        <v>171862211259.60641</v>
      </c>
      <c r="L112" s="4">
        <f t="shared" si="4"/>
        <v>1.4</v>
      </c>
      <c r="M112" s="4">
        <f t="shared" si="5"/>
        <v>122758722328.2903</v>
      </c>
    </row>
    <row r="113" spans="1:13" x14ac:dyDescent="0.3">
      <c r="A113" s="1">
        <v>95</v>
      </c>
      <c r="B113" s="6" cm="1">
        <f t="array" ref="B113">FGivenP($C$3,$A113)</f>
        <v>1497.1205485517467</v>
      </c>
      <c r="C113" s="6" cm="1">
        <f t="array" ref="C113">PGivenF($C$3,$A113)</f>
        <v>6.6794888425475104E-4</v>
      </c>
      <c r="D113" s="6" cm="1">
        <f t="array" ref="D113">AGivenF($C$3,$A113)</f>
        <v>5.3471627054010099E-5</v>
      </c>
      <c r="E113" s="6" cm="1">
        <f t="array" ref="E113">FGivenA($C$3,$A113)</f>
        <v>18701.506856896835</v>
      </c>
      <c r="F113" s="6" cm="1">
        <f t="array" ref="F113">AGivenP($C$3,$A113)</f>
        <v>8.0053471627054007E-2</v>
      </c>
      <c r="G113" s="6" cm="1">
        <f t="array" ref="G113">PGivenA($C$3,$A113)</f>
        <v>12.491650638946815</v>
      </c>
      <c r="H113" s="6" cm="1">
        <f t="array" ref="H113">AGivenG($C$3,$A113)</f>
        <v>12.436502442873362</v>
      </c>
      <c r="I113" s="4"/>
      <c r="J113" s="6" cm="1">
        <f t="array" ref="J113">GeoGradienT(C$3, $A113,C$5)</f>
        <v>159131677093.15826</v>
      </c>
      <c r="K113" s="6" cm="1">
        <f t="array" ref="K113">PGivenA($C$8,$A113)</f>
        <v>222784347930.41565</v>
      </c>
      <c r="L113" s="4">
        <f t="shared" si="4"/>
        <v>1.4</v>
      </c>
      <c r="M113" s="4">
        <f t="shared" si="5"/>
        <v>159131677093.15405</v>
      </c>
    </row>
    <row r="114" spans="1:13" x14ac:dyDescent="0.3">
      <c r="A114" s="1">
        <v>96</v>
      </c>
      <c r="B114" s="6" cm="1">
        <f t="array" ref="B114">FGivenP($C$3,$A114)</f>
        <v>1616.8901924358865</v>
      </c>
      <c r="C114" s="6" cm="1">
        <f t="array" ref="C114">PGivenF($C$3,$A114)</f>
        <v>6.1847118912476944E-4</v>
      </c>
      <c r="D114" s="6" cm="1">
        <f t="array" ref="D114">AGivenF($C$3,$A114)</f>
        <v>4.9508314596181416E-5</v>
      </c>
      <c r="E114" s="6" cm="1">
        <f t="array" ref="E114">FGivenA($C$3,$A114)</f>
        <v>20198.62740544858</v>
      </c>
      <c r="F114" s="6" cm="1">
        <f t="array" ref="F114">AGivenP($C$3,$A114)</f>
        <v>8.0049508314596188E-2</v>
      </c>
      <c r="G114" s="6" cm="1">
        <f t="array" ref="G114">PGivenA($C$3,$A114)</f>
        <v>12.49226911013594</v>
      </c>
      <c r="H114" s="6" cm="1">
        <f t="array" ref="H114">AGivenG($C$3,$A114)</f>
        <v>12.440590022484582</v>
      </c>
      <c r="I114" s="4"/>
      <c r="J114" s="6" cm="1">
        <f t="array" ref="J114">GeoGradienT(C$3, $A114,C$5)</f>
        <v>206281803640.20517</v>
      </c>
      <c r="K114" s="6" cm="1">
        <f t="array" ref="K114">PGivenA($C$8,$A114)</f>
        <v>288794525096.27948</v>
      </c>
      <c r="L114" s="4">
        <f t="shared" si="4"/>
        <v>1.4</v>
      </c>
      <c r="M114" s="4">
        <f t="shared" si="5"/>
        <v>206281803640.19965</v>
      </c>
    </row>
    <row r="115" spans="1:13" x14ac:dyDescent="0.3">
      <c r="A115" s="1">
        <v>97</v>
      </c>
      <c r="B115" s="6" cm="1">
        <f t="array" ref="B115">FGivenP($C$3,$A115)</f>
        <v>1746.2414078307577</v>
      </c>
      <c r="C115" s="6" cm="1">
        <f t="array" ref="C115">PGivenF($C$3,$A115)</f>
        <v>5.7265850844886047E-4</v>
      </c>
      <c r="D115" s="6" cm="1">
        <f t="array" ref="D115">AGivenF($C$3,$A115)</f>
        <v>4.5838930729609347E-5</v>
      </c>
      <c r="E115" s="6" cm="1">
        <f t="array" ref="E115">FGivenA($C$3,$A115)</f>
        <v>21815.517597884471</v>
      </c>
      <c r="F115" s="6" cm="1">
        <f t="array" ref="F115">AGivenP($C$3,$A115)</f>
        <v>8.0045838930729613E-2</v>
      </c>
      <c r="G115" s="6" cm="1">
        <f t="array" ref="G115">PGivenA($C$3,$A115)</f>
        <v>12.492841768644389</v>
      </c>
      <c r="H115" s="6" cm="1">
        <f t="array" ref="H115">AGivenG($C$3,$A115)</f>
        <v>12.444420296490348</v>
      </c>
      <c r="I115" s="4"/>
      <c r="J115" s="6" cm="1">
        <f t="array" ref="J115">GeoGradienT(C$3, $A115,C$5)</f>
        <v>267402338053.04376</v>
      </c>
      <c r="K115" s="6" cm="1">
        <f t="array" ref="K115">PGivenA($C$8,$A115)</f>
        <v>374363273274.2511</v>
      </c>
      <c r="L115" s="4">
        <f t="shared" si="4"/>
        <v>1.4</v>
      </c>
      <c r="M115" s="4">
        <f t="shared" si="5"/>
        <v>267402338053.03653</v>
      </c>
    </row>
    <row r="116" spans="1:13" x14ac:dyDescent="0.3">
      <c r="A116" s="1">
        <v>98</v>
      </c>
      <c r="B116" s="6" cm="1">
        <f t="array" ref="B116">FGivenP($C$3,$A116)</f>
        <v>1885.9407204572183</v>
      </c>
      <c r="C116" s="6" cm="1">
        <f t="array" ref="C116">PGivenF($C$3,$A116)</f>
        <v>5.3023935967487089E-4</v>
      </c>
      <c r="D116" s="6" cm="1">
        <f t="array" ref="D116">AGivenF($C$3,$A116)</f>
        <v>4.2441653008904649E-5</v>
      </c>
      <c r="E116" s="6" cm="1">
        <f t="array" ref="E116">FGivenA($C$3,$A116)</f>
        <v>23561.759005715227</v>
      </c>
      <c r="F116" s="6" cm="1">
        <f t="array" ref="F116">AGivenP($C$3,$A116)</f>
        <v>8.0042441653008903E-2</v>
      </c>
      <c r="G116" s="6" cm="1">
        <f t="array" ref="G116">PGivenA($C$3,$A116)</f>
        <v>12.493372008004064</v>
      </c>
      <c r="H116" s="6" cm="1">
        <f t="array" ref="H116">AGivenG($C$3,$A116)</f>
        <v>12.448008975064091</v>
      </c>
      <c r="I116" s="4"/>
      <c r="J116" s="6" cm="1">
        <f t="array" ref="J116">GeoGradienT(C$3, $A116,C$5)</f>
        <v>346632660440.05676</v>
      </c>
      <c r="K116" s="6" cm="1">
        <f t="array" ref="K116">PGivenA($C$8,$A116)</f>
        <v>485285724616.06616</v>
      </c>
      <c r="L116" s="4">
        <f t="shared" si="4"/>
        <v>1.4</v>
      </c>
      <c r="M116" s="4">
        <f t="shared" si="5"/>
        <v>346632660440.0473</v>
      </c>
    </row>
    <row r="117" spans="1:13" x14ac:dyDescent="0.3">
      <c r="A117" s="1">
        <v>99</v>
      </c>
      <c r="B117" s="6" cm="1">
        <f t="array" ref="B117">FGivenP($C$3,$A117)</f>
        <v>2036.8159780937958</v>
      </c>
      <c r="C117" s="6" cm="1">
        <f t="array" ref="C117">PGivenF($C$3,$A117)</f>
        <v>4.9096237006932485E-4</v>
      </c>
      <c r="D117" s="6" cm="1">
        <f t="array" ref="D117">AGivenF($C$3,$A117)</f>
        <v>3.9296282601586979E-5</v>
      </c>
      <c r="E117" s="6" cm="1">
        <f t="array" ref="E117">FGivenA($C$3,$A117)</f>
        <v>25447.699726172446</v>
      </c>
      <c r="F117" s="6" cm="1">
        <f t="array" ref="F117">AGivenP($C$3,$A117)</f>
        <v>8.0039296282601591E-2</v>
      </c>
      <c r="G117" s="6" cm="1">
        <f t="array" ref="G117">PGivenA($C$3,$A117)</f>
        <v>12.493862970374133</v>
      </c>
      <c r="H117" s="6" cm="1">
        <f t="array" ref="H117">AGivenG($C$3,$A117)</f>
        <v>12.451370850280536</v>
      </c>
      <c r="I117" s="4"/>
      <c r="J117" s="6" cm="1">
        <f t="array" ref="J117">GeoGradienT(C$3, $A117,C$5)</f>
        <v>449338633904.70325</v>
      </c>
      <c r="K117" s="6" cm="1">
        <f t="array" ref="K117">PGivenA($C$8,$A117)</f>
        <v>629074087466.56714</v>
      </c>
      <c r="L117" s="4">
        <f t="shared" si="4"/>
        <v>1.4</v>
      </c>
      <c r="M117" s="4">
        <f t="shared" si="5"/>
        <v>449338633904.69086</v>
      </c>
    </row>
    <row r="118" spans="1:13" x14ac:dyDescent="0.3">
      <c r="A118" s="1">
        <v>100</v>
      </c>
      <c r="B118" s="6" cm="1">
        <f t="array" ref="B118">FGivenP($C$3,$A118)</f>
        <v>2199.7612563412999</v>
      </c>
      <c r="C118" s="6" cm="1">
        <f t="array" ref="C118">PGivenF($C$3,$A118)</f>
        <v>4.5459478710122659E-4</v>
      </c>
      <c r="D118" s="6" cm="1">
        <f t="array" ref="D118">AGivenF($C$3,$A118)</f>
        <v>3.6384123000747516E-5</v>
      </c>
      <c r="E118" s="6" cm="1">
        <f t="array" ref="E118">FGivenA($C$3,$A118)</f>
        <v>27484.51570426625</v>
      </c>
      <c r="F118" s="6" cm="1">
        <f t="array" ref="F118">AGivenP($C$3,$A118)</f>
        <v>8.0036384123000751E-2</v>
      </c>
      <c r="G118" s="6" cm="1">
        <f t="array" ref="G118">PGivenA($C$3,$A118)</f>
        <v>12.494317565161234</v>
      </c>
      <c r="H118" s="6" cm="1">
        <f t="array" ref="H118">AGivenG($C$3,$A118)</f>
        <v>12.454519846249065</v>
      </c>
      <c r="I118" s="4"/>
      <c r="J118" s="6" cm="1">
        <f t="array" ref="J118">GeoGradienT(C$3, $A118,C$5)</f>
        <v>582476006914.4303</v>
      </c>
      <c r="K118" s="6" cm="1">
        <f t="array" ref="K118">PGivenA($C$8,$A118)</f>
        <v>815466409680.17944</v>
      </c>
      <c r="L118" s="4">
        <f t="shared" si="4"/>
        <v>1.4</v>
      </c>
      <c r="M118" s="4">
        <f t="shared" si="5"/>
        <v>582476006914.41394</v>
      </c>
    </row>
  </sheetData>
  <mergeCells count="16">
    <mergeCell ref="A11:M13"/>
    <mergeCell ref="A1:C2"/>
    <mergeCell ref="A16:A17"/>
    <mergeCell ref="B16:B17"/>
    <mergeCell ref="C16:C17"/>
    <mergeCell ref="D16:D17"/>
    <mergeCell ref="E16:E17"/>
    <mergeCell ref="M16:M17"/>
    <mergeCell ref="L16:L17"/>
    <mergeCell ref="F16:F17"/>
    <mergeCell ref="G16:G17"/>
    <mergeCell ref="H16:H17"/>
    <mergeCell ref="I16:I17"/>
    <mergeCell ref="J16:J17"/>
    <mergeCell ref="K16:K17"/>
    <mergeCell ref="D1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Dufresne-Nappert</dc:creator>
  <cp:lastModifiedBy>Alexandre Dufresne-Nappert</cp:lastModifiedBy>
  <dcterms:created xsi:type="dcterms:W3CDTF">2015-06-05T18:17:20Z</dcterms:created>
  <dcterms:modified xsi:type="dcterms:W3CDTF">2024-06-05T18:33:22Z</dcterms:modified>
</cp:coreProperties>
</file>